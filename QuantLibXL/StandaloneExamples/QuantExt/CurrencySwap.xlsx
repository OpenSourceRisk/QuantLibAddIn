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rik\repos\qla-dx1-ee\QuantLibXL\StandaloneExamples\QuantExt\"/>
    </mc:Choice>
  </mc:AlternateContent>
  <xr:revisionPtr revIDLastSave="0" documentId="8_{C2049DF7-8C64-43B0-855C-2081315CD7FB}" xr6:coauthVersionLast="47" xr6:coauthVersionMax="47" xr10:uidLastSave="{00000000-0000-0000-0000-000000000000}"/>
  <bookViews>
    <workbookView xWindow="-120" yWindow="-16320" windowWidth="29040" windowHeight="15720" xr2:uid="{2BACD49A-3EE1-4010-8182-D304EEDF0EB3}"/>
  </bookViews>
  <sheets>
    <sheet name="Setup" sheetId="1" r:id="rId1"/>
    <sheet name="CurrencySw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1" l="1"/>
  <c r="B5" i="1"/>
  <c r="C5" i="1"/>
  <c r="B9" i="1"/>
  <c r="B10" i="1"/>
  <c r="B11" i="1"/>
  <c r="B12" i="1"/>
  <c r="B24" i="1"/>
  <c r="C9" i="1"/>
  <c r="B13" i="1"/>
  <c r="C10" i="1"/>
  <c r="B14" i="1"/>
  <c r="C14" i="1" s="1"/>
  <c r="C11" i="1"/>
  <c r="B18" i="1"/>
  <c r="C12" i="1"/>
  <c r="B21" i="1"/>
  <c r="C24" i="1"/>
  <c r="E5" i="1" a="1"/>
  <c r="C13" i="1"/>
  <c r="B17" i="1"/>
  <c r="C17" i="1" s="1"/>
  <c r="C18" i="1"/>
  <c r="B20" i="1"/>
  <c r="C20" i="1" s="1"/>
  <c r="C21" i="1"/>
  <c r="B23" i="1"/>
  <c r="C23" i="1" s="1"/>
  <c r="H5" i="2" l="1"/>
  <c r="H6" i="2"/>
  <c r="I6" i="2"/>
  <c r="E24" i="1"/>
  <c r="E9" i="1"/>
  <c r="E12" i="1"/>
  <c r="E15" i="1"/>
  <c r="E5" i="1"/>
  <c r="E16" i="1"/>
  <c r="E7" i="1"/>
  <c r="E8" i="1"/>
  <c r="E13" i="1"/>
  <c r="E14" i="1"/>
  <c r="E17" i="1"/>
  <c r="E11" i="1"/>
  <c r="E18" i="1"/>
  <c r="E10" i="1"/>
  <c r="E19" i="1"/>
  <c r="E20" i="1"/>
  <c r="E21" i="1"/>
  <c r="E22" i="1"/>
  <c r="E23" i="1"/>
  <c r="E25" i="1"/>
  <c r="E6" i="1"/>
  <c r="F22" i="1"/>
  <c r="F12" i="1"/>
  <c r="F15" i="1"/>
  <c r="F24" i="1"/>
  <c r="F14" i="1"/>
  <c r="F17" i="1"/>
  <c r="F18" i="1"/>
  <c r="F19" i="1"/>
  <c r="F20" i="1"/>
  <c r="F21" i="1"/>
  <c r="F23" i="1"/>
  <c r="F13" i="1"/>
  <c r="F16" i="1"/>
  <c r="B25" i="1"/>
  <c r="C25" i="1"/>
  <c r="B5" i="2"/>
  <c r="B6" i="2"/>
  <c r="C5" i="2"/>
  <c r="E16" i="2"/>
  <c r="C6" i="2"/>
  <c r="L5" i="2" l="1"/>
  <c r="B26" i="1"/>
  <c r="B7" i="2"/>
  <c r="B8" i="2"/>
  <c r="B9" i="2"/>
  <c r="C7" i="2"/>
  <c r="E17" i="2"/>
  <c r="C8" i="2"/>
  <c r="E18" i="2"/>
  <c r="C9" i="2"/>
  <c r="C20" i="2" l="1"/>
  <c r="I5" i="2"/>
  <c r="L7" i="2"/>
  <c r="L6" i="2"/>
  <c r="B11" i="2"/>
  <c r="B10" i="2"/>
  <c r="B12" i="2"/>
  <c r="B16" i="2"/>
  <c r="C16" i="2"/>
  <c r="C17" i="2"/>
  <c r="C18" i="2"/>
  <c r="C19" i="2"/>
  <c r="B13" i="2"/>
  <c r="F19" i="2"/>
  <c r="D16" i="2"/>
  <c r="F16" i="2"/>
  <c r="B17" i="2"/>
  <c r="D17" i="2"/>
  <c r="F17" i="2"/>
  <c r="B18" i="2"/>
  <c r="D18" i="2"/>
  <c r="F18" i="2"/>
  <c r="C11" i="2"/>
  <c r="C10" i="2"/>
  <c r="C13" i="2"/>
  <c r="C12" i="2"/>
  <c r="F20" i="2"/>
</calcChain>
</file>

<file path=xl/sharedStrings.xml><?xml version="1.0" encoding="utf-8"?>
<sst xmlns="http://schemas.openxmlformats.org/spreadsheetml/2006/main" count="62" uniqueCount="56">
  <si>
    <t>QuantExt currency swap with FX resets: setup</t>
  </si>
  <si>
    <t>Dates and fixings follow the Cross_Currency_Swap_rebalancing regression test; curves are flat.</t>
  </si>
  <si>
    <t>Item</t>
  </si>
  <si>
    <t>Value</t>
  </si>
  <si>
    <t>Error</t>
  </si>
  <si>
    <t>Evaluation date</t>
  </si>
  <si>
    <t>EUR flat rate</t>
  </si>
  <si>
    <t>USD flat rate</t>
  </si>
  <si>
    <t>EUR/USD spot</t>
  </si>
  <si>
    <t>EUR/USD spot quote</t>
  </si>
  <si>
    <t>USD/EUR spot quote</t>
  </si>
  <si>
    <t>EUR curve</t>
  </si>
  <si>
    <t>USD curve</t>
  </si>
  <si>
    <t>FX index EUR/USD (holds the ECB fixings)</t>
  </si>
  <si>
    <t>FX index USD/EUR (inverts the EUR/USD fixings)</t>
  </si>
  <si>
    <t>Fixing date</t>
  </si>
  <si>
    <t>ECB EUR/USD fixing value</t>
  </si>
  <si>
    <t>Add FX fixing</t>
  </si>
  <si>
    <t>Euribor 6M</t>
  </si>
  <si>
    <t>EUR-EURIBOR-6M fixing value</t>
  </si>
  <si>
    <t>Add Euribor fixing</t>
  </si>
  <si>
    <t>USD Libor 6M</t>
  </si>
  <si>
    <t>USD-LIBOR-6M fixing value</t>
  </si>
  <si>
    <t>Add Libor fixing</t>
  </si>
  <si>
    <t>Trade schedule</t>
  </si>
  <si>
    <t>Remaining schedule (from 2019-08-05)</t>
  </si>
  <si>
    <t>Trigger (all of the above)</t>
  </si>
  <si>
    <t>Schedule dates</t>
  </si>
  <si>
    <t>FX fixing date (period start - 2D)</t>
  </si>
  <si>
    <t>qlCurrencySwap: receive USD-LIBOR-6M on USD 100m, pay EUR-EURIBOR-6M + 150bp on an FX-reset notional</t>
  </si>
  <si>
    <t>Remaining periods from 2019-08-05. Priced with qlDiscountingCurrencySwapEngine, NPV currency USD.</t>
  </si>
  <si>
    <t>USD Libor leg</t>
  </si>
  <si>
    <t>Underlying EUR Euribor leg (unit nominal)</t>
  </si>
  <si>
    <t>EUR FX-linked notional leg</t>
  </si>
  <si>
    <t>EUR fixed flows (+/- 999.99 on 2020-02-05)</t>
  </si>
  <si>
    <t>USD/USD quote</t>
  </si>
  <si>
    <t>Engine</t>
  </si>
  <si>
    <t>Swap</t>
  </si>
  <si>
    <t>Set engine</t>
  </si>
  <si>
    <t>NPV (USD)</t>
  </si>
  <si>
    <t>Leg</t>
  </si>
  <si>
    <t>Currency</t>
  </si>
  <si>
    <t>Leg NPV (USD)</t>
  </si>
  <si>
    <t>Leg NPV (leg ccy)</t>
  </si>
  <si>
    <t>Hand: qlLegNPV (leg ccy, signed)</t>
  </si>
  <si>
    <t>Difference</t>
  </si>
  <si>
    <t>Engine curves</t>
  </si>
  <si>
    <t>Engine FX quotes</t>
  </si>
  <si>
    <t>Currencies</t>
  </si>
  <si>
    <t>USD</t>
  </si>
  <si>
    <t>EUR</t>
  </si>
  <si>
    <t>Payer</t>
  </si>
  <si>
    <t>Leg currencies</t>
  </si>
  <si>
    <t>Swap legs</t>
  </si>
  <si>
    <t>Total</t>
  </si>
  <si>
    <t>EUR legs converted at 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</si>
</sst>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4A014-FC0E-48F1-AD3C-A1179B1EC506}">
  <dimension ref="A1:F26"/>
  <sheetViews>
    <sheetView tabSelected="1" workbookViewId="0"/>
  </sheetViews>
  <sheetFormatPr defaultRowHeight="14.4" x14ac:dyDescent="0.3"/>
  <cols>
    <col min="1" max="1" width="44.77734375" customWidth="1"/>
    <col min="2" max="2" width="22.77734375" customWidth="1"/>
    <col min="3" max="3" width="30.77734375" customWidth="1"/>
    <col min="5" max="5" width="14.77734375" customWidth="1"/>
    <col min="6" max="6" width="32.77734375" customWidth="1"/>
  </cols>
  <sheetData>
    <row r="1" spans="1:6" x14ac:dyDescent="0.3">
      <c r="A1" s="2" t="s">
        <v>0</v>
      </c>
    </row>
    <row r="2" spans="1:6" x14ac:dyDescent="0.3">
      <c r="A2" t="s">
        <v>1</v>
      </c>
    </row>
    <row r="4" spans="1:6" x14ac:dyDescent="0.3">
      <c r="A4" s="2" t="s">
        <v>2</v>
      </c>
      <c r="B4" s="2" t="s">
        <v>3</v>
      </c>
      <c r="C4" s="2" t="s">
        <v>4</v>
      </c>
      <c r="E4" s="2" t="s">
        <v>27</v>
      </c>
      <c r="F4" s="2" t="s">
        <v>28</v>
      </c>
    </row>
    <row r="5" spans="1:6" x14ac:dyDescent="0.3">
      <c r="A5" t="s">
        <v>5</v>
      </c>
      <c r="B5" t="b">
        <f>_xll.qlSettingsSetEvaluationDate(DATE(2019,12,30),FALSE)</f>
        <v>1</v>
      </c>
      <c r="C5" t="str">
        <f>_xll.ohRangeRetrieveError(B5)</f>
        <v/>
      </c>
      <c r="E5" s="1">
        <f t="array" ref="E5:E25">_xll.qlScheduleDates(B24)</f>
        <v>42405</v>
      </c>
      <c r="F5" s="1"/>
    </row>
    <row r="6" spans="1:6" x14ac:dyDescent="0.3">
      <c r="A6" t="s">
        <v>6</v>
      </c>
      <c r="B6">
        <v>0</v>
      </c>
      <c r="E6" s="1">
        <v>42587</v>
      </c>
      <c r="F6" s="1"/>
    </row>
    <row r="7" spans="1:6" x14ac:dyDescent="0.3">
      <c r="A7" t="s">
        <v>7</v>
      </c>
      <c r="B7">
        <v>0.02</v>
      </c>
      <c r="E7" s="1">
        <v>42772</v>
      </c>
      <c r="F7" s="1"/>
    </row>
    <row r="8" spans="1:6" x14ac:dyDescent="0.3">
      <c r="A8" t="s">
        <v>8</v>
      </c>
      <c r="B8">
        <v>1.1198999999999999</v>
      </c>
      <c r="E8" s="1">
        <v>42954</v>
      </c>
      <c r="F8" s="1"/>
    </row>
    <row r="9" spans="1:6" x14ac:dyDescent="0.3">
      <c r="A9" t="s">
        <v>9</v>
      </c>
      <c r="B9" t="str">
        <f>_xll.qlSimpleQuote("EurUsdSpot",B8,0,FALSE,B5)</f>
        <v>EurUsdSpot#0001</v>
      </c>
      <c r="C9" t="str">
        <f>_xll.ohRangeRetrieveError(B9)</f>
        <v/>
      </c>
      <c r="E9" s="1">
        <v>43136</v>
      </c>
      <c r="F9" s="1"/>
    </row>
    <row r="10" spans="1:6" x14ac:dyDescent="0.3">
      <c r="A10" t="s">
        <v>10</v>
      </c>
      <c r="B10" t="str">
        <f>_xll.qlSimpleQuote("UsdEurSpot",1/B8,0,FALSE,B5)</f>
        <v>UsdEurSpot#0001</v>
      </c>
      <c r="C10" t="str">
        <f>_xll.ohRangeRetrieveError(B10)</f>
        <v/>
      </c>
      <c r="E10" s="1">
        <v>43318</v>
      </c>
      <c r="F10" s="1"/>
    </row>
    <row r="11" spans="1:6" x14ac:dyDescent="0.3">
      <c r="A11" t="s">
        <v>11</v>
      </c>
      <c r="B11" t="str">
        <f>_xll.qlFlatForward("EurCurve",0,"TARGET",B6,"Actual/365 (Fixed)","Continuous","Annual",FALSE,B5)</f>
        <v>EurCurve#0001</v>
      </c>
      <c r="C11" t="str">
        <f>_xll.ohRangeRetrieveError(B11)</f>
        <v/>
      </c>
      <c r="E11" s="1">
        <v>43501</v>
      </c>
      <c r="F11" s="1"/>
    </row>
    <row r="12" spans="1:6" x14ac:dyDescent="0.3">
      <c r="A12" t="s">
        <v>12</v>
      </c>
      <c r="B12" t="str">
        <f>_xll.qlFlatForward("UsdCurve",0,"TARGET",B7,"Actual/365 (Fixed)","Continuous","Annual",FALSE,B5)</f>
        <v>UsdCurve#0001</v>
      </c>
      <c r="C12" t="str">
        <f>_xll.ohRangeRetrieveError(B12)</f>
        <v/>
      </c>
      <c r="E12" s="1">
        <v>43682</v>
      </c>
      <c r="F12" s="1">
        <f>_xll.qlCalendarAdvance("TARGET",E12,"-2D")</f>
        <v>43678</v>
      </c>
    </row>
    <row r="13" spans="1:6" x14ac:dyDescent="0.3">
      <c r="A13" t="s">
        <v>13</v>
      </c>
      <c r="B13" t="str">
        <f>_xll.qlFxIndex("FxEurUsd","ECB",2,"EUR","USD","TARGET",B9,B11,B12,TRUE,FALSE,B5)</f>
        <v>FxEurUsd#0001</v>
      </c>
      <c r="C13" t="str">
        <f>_xll.ohRangeRetrieveError(B13)</f>
        <v/>
      </c>
      <c r="E13" s="1">
        <v>43866</v>
      </c>
      <c r="F13" s="1">
        <f>_xll.qlCalendarAdvance("TARGET",E13,"-2D")</f>
        <v>43864</v>
      </c>
    </row>
    <row r="14" spans="1:6" x14ac:dyDescent="0.3">
      <c r="A14" t="s">
        <v>14</v>
      </c>
      <c r="B14" t="str">
        <f>_xll.qlFxIndex("FxUsdEur","ECB",2,"USD","EUR","TARGET",B10,B12,B11,TRUE,FALSE,B5)</f>
        <v>FxUsdEur#0001</v>
      </c>
      <c r="C14" t="str">
        <f>_xll.ohRangeRetrieveError(B14)</f>
        <v/>
      </c>
      <c r="E14" s="1">
        <v>44048</v>
      </c>
      <c r="F14" s="1">
        <f>_xll.qlCalendarAdvance("TARGET",E14,"-2D")</f>
        <v>44046</v>
      </c>
    </row>
    <row r="15" spans="1:6" x14ac:dyDescent="0.3">
      <c r="A15" t="s">
        <v>15</v>
      </c>
      <c r="B15" s="1">
        <f>DATE(2019,8,1)</f>
        <v>43678</v>
      </c>
      <c r="E15" s="1">
        <v>44232</v>
      </c>
      <c r="F15" s="1">
        <f>_xll.qlCalendarAdvance("TARGET",E15,"-2D")</f>
        <v>44230</v>
      </c>
    </row>
    <row r="16" spans="1:6" x14ac:dyDescent="0.3">
      <c r="A16" t="s">
        <v>16</v>
      </c>
      <c r="B16">
        <v>1.1036999999999999</v>
      </c>
      <c r="E16" s="1">
        <v>44413</v>
      </c>
      <c r="F16" s="1">
        <f>_xll.qlCalendarAdvance("TARGET",E16,"-2D")</f>
        <v>44411</v>
      </c>
    </row>
    <row r="17" spans="1:6" x14ac:dyDescent="0.3">
      <c r="A17" t="s">
        <v>17</v>
      </c>
      <c r="B17" t="b">
        <f>_xll.qlIndexAddFixings(B13,B15,B16,TRUE)</f>
        <v>1</v>
      </c>
      <c r="C17" t="str">
        <f>_xll.ohRangeRetrieveError(B17)</f>
        <v/>
      </c>
      <c r="E17" s="1">
        <v>44599</v>
      </c>
      <c r="F17" s="1">
        <f>_xll.qlCalendarAdvance("TARGET",E17,"-2D")</f>
        <v>44595</v>
      </c>
    </row>
    <row r="18" spans="1:6" x14ac:dyDescent="0.3">
      <c r="A18" t="s">
        <v>18</v>
      </c>
      <c r="B18" t="str">
        <f>_xll.qlEuribor("Euribor6M","6M",B11,FALSE,B5)</f>
        <v>Euribor6M#0001</v>
      </c>
      <c r="C18" t="str">
        <f>_xll.ohRangeRetrieveError(B18)</f>
        <v/>
      </c>
      <c r="E18" s="1">
        <v>44778</v>
      </c>
      <c r="F18" s="1">
        <f>_xll.qlCalendarAdvance("TARGET",E18,"-2D")</f>
        <v>44776</v>
      </c>
    </row>
    <row r="19" spans="1:6" x14ac:dyDescent="0.3">
      <c r="A19" t="s">
        <v>19</v>
      </c>
      <c r="B19">
        <v>-3.63E-3</v>
      </c>
      <c r="E19" s="1">
        <v>44963</v>
      </c>
      <c r="F19" s="1">
        <f>_xll.qlCalendarAdvance("TARGET",E19,"-2D")</f>
        <v>44959</v>
      </c>
    </row>
    <row r="20" spans="1:6" x14ac:dyDescent="0.3">
      <c r="A20" t="s">
        <v>20</v>
      </c>
      <c r="B20" t="b">
        <f>_xll.qlIndexAddFixings(B18,B15,B19,TRUE)</f>
        <v>1</v>
      </c>
      <c r="C20" t="str">
        <f>_xll.ohRangeRetrieveError(B20)</f>
        <v/>
      </c>
      <c r="E20" s="1">
        <v>45145</v>
      </c>
      <c r="F20" s="1">
        <f>_xll.qlCalendarAdvance("TARGET",E20,"-2D")</f>
        <v>45141</v>
      </c>
    </row>
    <row r="21" spans="1:6" x14ac:dyDescent="0.3">
      <c r="A21" t="s">
        <v>21</v>
      </c>
      <c r="B21" t="str">
        <f>_xll.qlLibor("UsdLibor6M","USD","6M",B12,FALSE,B5)</f>
        <v>UsdLibor6M#0001</v>
      </c>
      <c r="C21" t="str">
        <f>_xll.ohRangeRetrieveError(B21)</f>
        <v/>
      </c>
      <c r="E21" s="1">
        <v>45327</v>
      </c>
      <c r="F21" s="1">
        <f>_xll.qlCalendarAdvance("TARGET",E21,"-2D")</f>
        <v>45323</v>
      </c>
    </row>
    <row r="22" spans="1:6" x14ac:dyDescent="0.3">
      <c r="A22" t="s">
        <v>22</v>
      </c>
      <c r="B22">
        <v>2.2268799999999998E-2</v>
      </c>
      <c r="E22" s="1">
        <v>45509</v>
      </c>
      <c r="F22" s="1">
        <f>_xll.qlCalendarAdvance("TARGET",E22,"-2D")</f>
        <v>45505</v>
      </c>
    </row>
    <row r="23" spans="1:6" x14ac:dyDescent="0.3">
      <c r="A23" t="s">
        <v>23</v>
      </c>
      <c r="B23" t="b">
        <f>_xll.qlIndexAddFixings(B21,B15,B22,TRUE)</f>
        <v>1</v>
      </c>
      <c r="C23" t="str">
        <f>_xll.ohRangeRetrieveError(B23)</f>
        <v/>
      </c>
      <c r="E23" s="1">
        <v>45693</v>
      </c>
      <c r="F23" s="1">
        <f>_xll.qlCalendarAdvance("TARGET",E23,"-2D")</f>
        <v>45691</v>
      </c>
    </row>
    <row r="24" spans="1:6" x14ac:dyDescent="0.3">
      <c r="A24" t="s">
        <v>24</v>
      </c>
      <c r="B24" t="str">
        <f>_xll.qlSchedule("TradeSchedule",DATE(2016,2,5),DATE(2026,2,5),"6M","TARGET","Modified Following","Modified Following","Forward",FALSE,,,FALSE,B5)</f>
        <v>TradeSchedule#0001</v>
      </c>
      <c r="C24" t="str">
        <f>_xll.ohRangeRetrieveError(B24)</f>
        <v/>
      </c>
      <c r="E24" s="1">
        <v>45874</v>
      </c>
      <c r="F24" s="1">
        <f>_xll.qlCalendarAdvance("TARGET",E24,"-2D")</f>
        <v>45870</v>
      </c>
    </row>
    <row r="25" spans="1:6" x14ac:dyDescent="0.3">
      <c r="A25" t="s">
        <v>25</v>
      </c>
      <c r="B25" t="str">
        <f>_xll.qlSchedule("RemainingSchedule",E12,E25,"6M","TARGET","Modified Following","Modified Following","Forward",FALSE,,,FALSE,B24)</f>
        <v>RemainingSchedule#0001</v>
      </c>
      <c r="C25" t="str">
        <f>_xll.ohRangeRetrieveError(B25)</f>
        <v/>
      </c>
      <c r="E25" s="1">
        <v>46058</v>
      </c>
      <c r="F25" s="1"/>
    </row>
    <row r="26" spans="1:6" x14ac:dyDescent="0.3">
      <c r="A26" t="s">
        <v>26</v>
      </c>
      <c r="B26" t="b">
        <f>AND(B17,B20,B23,NOT(ISERROR(B14)),NOT(ISERROR(B25)))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8ECFA-042F-47E9-B8D8-99CF40035869}">
  <dimension ref="A1:L20"/>
  <sheetViews>
    <sheetView workbookViewId="0"/>
  </sheetViews>
  <sheetFormatPr defaultRowHeight="14.4" x14ac:dyDescent="0.3"/>
  <cols>
    <col min="1" max="1" width="44.77734375" customWidth="1"/>
    <col min="2" max="12" width="20.77734375" customWidth="1"/>
  </cols>
  <sheetData>
    <row r="1" spans="1:12" x14ac:dyDescent="0.3">
      <c r="A1" s="2" t="s">
        <v>29</v>
      </c>
    </row>
    <row r="2" spans="1:12" x14ac:dyDescent="0.3">
      <c r="A2" t="s">
        <v>30</v>
      </c>
    </row>
    <row r="4" spans="1:12" x14ac:dyDescent="0.3">
      <c r="A4" s="2" t="s">
        <v>2</v>
      </c>
      <c r="B4" s="2" t="s">
        <v>3</v>
      </c>
      <c r="C4" s="2" t="s">
        <v>4</v>
      </c>
      <c r="H4" s="2" t="s">
        <v>46</v>
      </c>
      <c r="I4" s="2" t="s">
        <v>47</v>
      </c>
      <c r="J4" s="2" t="s">
        <v>48</v>
      </c>
      <c r="K4" s="2" t="s">
        <v>51</v>
      </c>
      <c r="L4" s="2" t="s">
        <v>53</v>
      </c>
    </row>
    <row r="5" spans="1:12" x14ac:dyDescent="0.3">
      <c r="A5" t="s">
        <v>31</v>
      </c>
      <c r="B5" t="str">
        <f>_xll.qlIborLeg("UsdLeg","Modified Following",{100000000},Setup!B25,{2},FALSE,"Actual/360",,,Setup!B21,{0})</f>
        <v>UsdLeg#0001</v>
      </c>
      <c r="C5" t="str">
        <f>_xll.ohRangeRetrieveError(B5)</f>
        <v/>
      </c>
      <c r="H5" t="str">
        <f>Setup!B12</f>
        <v>UsdCurve#0001</v>
      </c>
      <c r="I5" t="str">
        <f>B9</f>
        <v>UsdUsdSpot#0001</v>
      </c>
      <c r="J5" t="s">
        <v>49</v>
      </c>
      <c r="K5" t="b">
        <v>0</v>
      </c>
      <c r="L5" t="str">
        <f>B5</f>
        <v>UsdLeg#0001</v>
      </c>
    </row>
    <row r="6" spans="1:12" x14ac:dyDescent="0.3">
      <c r="A6" t="s">
        <v>32</v>
      </c>
      <c r="B6" t="str">
        <f>_xll.qlIborLeg("EurUnitLeg","Modified Following",{1},Setup!B25,{2},FALSE,"Actual/360",,,Setup!B18,{0.015})</f>
        <v>EurUnitLeg#0001</v>
      </c>
      <c r="C6" t="str">
        <f>_xll.ohRangeRetrieveError(B6)</f>
        <v/>
      </c>
      <c r="H6" t="str">
        <f>Setup!B11</f>
        <v>EurCurve#0001</v>
      </c>
      <c r="I6" t="str">
        <f>Setup!B9</f>
        <v>EurUsdSpot#0001</v>
      </c>
      <c r="J6" t="s">
        <v>50</v>
      </c>
      <c r="K6" t="b">
        <v>1</v>
      </c>
      <c r="L6" t="str">
        <f>B7</f>
        <v>EurLeg#0001</v>
      </c>
    </row>
    <row r="7" spans="1:12" x14ac:dyDescent="0.3">
      <c r="A7" t="s">
        <v>33</v>
      </c>
      <c r="B7" t="str">
        <f>_xll.qlFloatingRateFXLinkedNotionalLeg("EurLeg",B6,Setup!F12:F24,100000000,Setup!B14,FALSE,Setup!B26)</f>
        <v>EurLeg#0001</v>
      </c>
      <c r="C7" t="str">
        <f>_xll.ohRangeRetrieveError(B7)</f>
        <v/>
      </c>
      <c r="J7" t="s">
        <v>52</v>
      </c>
      <c r="K7" t="b">
        <v>1</v>
      </c>
      <c r="L7" t="str">
        <f>B8</f>
        <v>EurFees#0001</v>
      </c>
    </row>
    <row r="8" spans="1:12" x14ac:dyDescent="0.3">
      <c r="A8" t="s">
        <v>34</v>
      </c>
      <c r="B8" t="str">
        <f>_xll.qlLeg("EurFees",{999.99,-999.99},Setup!E13*{1,1},FALSE,FALSE,Setup!B26)</f>
        <v>EurFees#0001</v>
      </c>
      <c r="C8" t="str">
        <f>_xll.ohRangeRetrieveError(B8)</f>
        <v/>
      </c>
      <c r="J8" t="s">
        <v>49</v>
      </c>
    </row>
    <row r="9" spans="1:12" x14ac:dyDescent="0.3">
      <c r="A9" t="s">
        <v>35</v>
      </c>
      <c r="B9" t="str">
        <f>_xll.qlSimpleQuote("UsdUsdSpot",1,0,FALSE,Setup!B26)</f>
        <v>UsdUsdSpot#0001</v>
      </c>
      <c r="C9" t="str">
        <f>_xll.ohRangeRetrieveError(B9)</f>
        <v/>
      </c>
      <c r="J9" t="s">
        <v>50</v>
      </c>
    </row>
    <row r="10" spans="1:12" x14ac:dyDescent="0.3">
      <c r="A10" t="s">
        <v>36</v>
      </c>
      <c r="B10" t="str">
        <f>_xll.qlDiscountingCurrencySwapEngine("XccyEngine",H5:H6,I5:I6,J5:J6,"USD",FALSE,Setup!B26)</f>
        <v>XccyEngine#0002</v>
      </c>
      <c r="C10" t="str">
        <f>_xll.ohRangeRetrieveError(B10)</f>
        <v/>
      </c>
      <c r="J10" t="s">
        <v>50</v>
      </c>
    </row>
    <row r="11" spans="1:12" x14ac:dyDescent="0.3">
      <c r="A11" t="s">
        <v>37</v>
      </c>
      <c r="B11" t="str">
        <f>_xll.qlCurrencySwap("Xccy",L5:L7,K5:K7,J8:J10,TRUE,FALSE,FALSE,Setup!B26)</f>
        <v>Xccy#0009</v>
      </c>
      <c r="C11" t="str">
        <f>_xll.ohRangeRetrieveError(B11)</f>
        <v/>
      </c>
    </row>
    <row r="12" spans="1:12" x14ac:dyDescent="0.3">
      <c r="A12" t="s">
        <v>38</v>
      </c>
      <c r="B12" t="b">
        <f>_xll.qlInstrumentSetPricingEngine(B11,B10)</f>
        <v>1</v>
      </c>
      <c r="C12" t="str">
        <f>_xll.ohRangeRetrieveError(B12)</f>
        <v/>
      </c>
    </row>
    <row r="13" spans="1:12" x14ac:dyDescent="0.3">
      <c r="A13" t="s">
        <v>39</v>
      </c>
      <c r="B13">
        <f>_xll.qlInstrumentNPV(B11,B12)</f>
        <v>3207771.3727752548</v>
      </c>
      <c r="C13" t="str">
        <f>_xll.ohRangeRetrieveError(B13)</f>
        <v/>
      </c>
    </row>
    <row r="15" spans="1:12" x14ac:dyDescent="0.3">
      <c r="A15" s="2" t="s">
        <v>40</v>
      </c>
      <c r="B15" s="2" t="s">
        <v>41</v>
      </c>
      <c r="C15" s="2" t="s">
        <v>42</v>
      </c>
      <c r="D15" s="2" t="s">
        <v>43</v>
      </c>
      <c r="E15" s="2" t="s">
        <v>44</v>
      </c>
      <c r="F15" s="2" t="s">
        <v>45</v>
      </c>
    </row>
    <row r="16" spans="1:12" x14ac:dyDescent="0.3">
      <c r="A16">
        <v>0</v>
      </c>
      <c r="B16" t="str">
        <f>_xll.qlCurrencySwapLegCurrency($B$11,A16,$B$12)</f>
        <v>USD</v>
      </c>
      <c r="C16">
        <f>_xll.qlCurrencySwapLegNPV($B$11,A16,$B$12)</f>
        <v>12430631.190897226</v>
      </c>
      <c r="D16">
        <f>_xll.qlCurrencySwapInCcyLegNPV($B$11,A16,$B$12)</f>
        <v>12430631.190897226</v>
      </c>
      <c r="E16">
        <f>1*_xll.qlLegNPV(B5,Setup!B12)</f>
        <v>12430631.190897226</v>
      </c>
      <c r="F16">
        <f>D16-E16</f>
        <v>0</v>
      </c>
    </row>
    <row r="17" spans="1:6" x14ac:dyDescent="0.3">
      <c r="A17">
        <v>1</v>
      </c>
      <c r="B17" t="str">
        <f>_xll.qlCurrencySwapLegCurrency($B$11,A17,$B$12)</f>
        <v>EUR</v>
      </c>
      <c r="C17">
        <f>_xll.qlCurrencySwapLegNPV($B$11,A17,$B$12)</f>
        <v>-9222859.8181219716</v>
      </c>
      <c r="D17">
        <f>_xll.qlCurrencySwapInCcyLegNPV($B$11,A17,$B$12)</f>
        <v>-8235431.5725707402</v>
      </c>
      <c r="E17">
        <f>-1*_xll.qlLegNPV(B7,Setup!B11)</f>
        <v>-8235431.5725707402</v>
      </c>
      <c r="F17">
        <f>D17-E17</f>
        <v>0</v>
      </c>
    </row>
    <row r="18" spans="1:6" x14ac:dyDescent="0.3">
      <c r="A18">
        <v>2</v>
      </c>
      <c r="B18" t="str">
        <f>_xll.qlCurrencySwapLegCurrency($B$11,A18,$B$12)</f>
        <v>EUR</v>
      </c>
      <c r="C18">
        <f>_xll.qlCurrencySwapLegNPV($B$11,A18,$B$12)</f>
        <v>0</v>
      </c>
      <c r="D18">
        <f>_xll.qlCurrencySwapInCcyLegNPV($B$11,A18,$B$12)</f>
        <v>0</v>
      </c>
      <c r="E18">
        <f>-1*_xll.qlLegNPV(B8,Setup!B11)</f>
        <v>0</v>
      </c>
      <c r="F18">
        <f>D18-E18</f>
        <v>0</v>
      </c>
    </row>
    <row r="19" spans="1:6" x14ac:dyDescent="0.3">
      <c r="A19" t="s">
        <v>54</v>
      </c>
      <c r="C19">
        <f>SUM(C16:C18)</f>
        <v>3207771.3727752548</v>
      </c>
      <c r="F19">
        <f>C19-B13</f>
        <v>0</v>
      </c>
    </row>
    <row r="20" spans="1:6" x14ac:dyDescent="0.3">
      <c r="A20" t="s">
        <v>55</v>
      </c>
      <c r="C20">
        <f>(E17+E18)*Setup!B8+E16</f>
        <v>3207771.3727752548</v>
      </c>
      <c r="F20">
        <f>C20-B13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CurrencySwap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Ehlers, Eric</dc:creator>
  <cp:lastModifiedBy>Ehlers, Eric</cp:lastModifiedBy>
  <dcterms:created xsi:type="dcterms:W3CDTF">2026-10-07T08:58:11Z</dcterms:created>
  <dcterms:modified xsi:type="dcterms:W3CDTF">2026-10-07T08:58:18Z</dcterms:modified>
</cp:coreProperties>
</file>