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k\repos\qla-dx1-ee\QuantLibXL\StandaloneExamples\QuantExt\"/>
    </mc:Choice>
  </mc:AlternateContent>
  <xr:revisionPtr revIDLastSave="0" documentId="8_{0766FBA9-55B6-40DA-A9E3-05FCC48A7C70}" xr6:coauthVersionLast="47" xr6:coauthVersionMax="47" xr10:uidLastSave="{00000000-0000-0000-0000-000000000000}"/>
  <bookViews>
    <workbookView xWindow="-120" yWindow="-16320" windowWidth="29040" windowHeight="15720" xr2:uid="{2C642C4D-898B-4B3C-B553-0D439564D507}"/>
  </bookViews>
  <sheets>
    <sheet name="Setup" sheetId="1" r:id="rId1"/>
    <sheet name="FXLinkedCashFlowLeg" sheetId="2" r:id="rId2"/>
    <sheet name="FXLinkedNotionalLe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5" i="1"/>
  <c r="C5" i="1"/>
  <c r="B9" i="1"/>
  <c r="B10" i="1"/>
  <c r="B11" i="1"/>
  <c r="B12" i="1"/>
  <c r="C12" i="1" s="1"/>
  <c r="B21" i="1"/>
  <c r="C9" i="1"/>
  <c r="B13" i="1"/>
  <c r="C10" i="1"/>
  <c r="B14" i="1"/>
  <c r="C11" i="1"/>
  <c r="B18" i="1"/>
  <c r="C21" i="1"/>
  <c r="E5" i="1" a="1"/>
  <c r="C13" i="1"/>
  <c r="B17" i="1"/>
  <c r="C17" i="1" s="1"/>
  <c r="C14" i="1"/>
  <c r="C18" i="1"/>
  <c r="B20" i="1"/>
  <c r="C20" i="1" s="1"/>
  <c r="B22" i="1" l="1"/>
  <c r="E24" i="1"/>
  <c r="E5" i="1"/>
  <c r="E25" i="1"/>
  <c r="E6" i="1"/>
  <c r="E7" i="1"/>
  <c r="E8" i="1"/>
  <c r="E9" i="1"/>
  <c r="E12" i="1"/>
  <c r="E14" i="1"/>
  <c r="E17" i="1"/>
  <c r="E18" i="1"/>
  <c r="E22" i="1"/>
  <c r="E10" i="1"/>
  <c r="E11" i="1"/>
  <c r="E13" i="1"/>
  <c r="E15" i="1"/>
  <c r="E19" i="1"/>
  <c r="E20" i="1"/>
  <c r="E21" i="1"/>
  <c r="E23" i="1"/>
  <c r="E16" i="1"/>
  <c r="B5" i="3"/>
  <c r="B9" i="3"/>
  <c r="B10" i="3"/>
  <c r="C5" i="3"/>
  <c r="B7" i="3"/>
  <c r="C19" i="3"/>
  <c r="B19" i="3"/>
  <c r="C20" i="3"/>
  <c r="B20" i="3"/>
  <c r="C7" i="3"/>
  <c r="B11" i="3"/>
  <c r="C11" i="3"/>
  <c r="A14" i="3" a="1"/>
  <c r="B16" i="3" l="1"/>
  <c r="E20" i="3" s="1"/>
  <c r="D15" i="3"/>
  <c r="E15" i="3"/>
  <c r="C16" i="3"/>
  <c r="E14" i="3"/>
  <c r="E16" i="3"/>
  <c r="F16" i="3"/>
  <c r="D20" i="3" s="1"/>
  <c r="F14" i="3"/>
  <c r="D16" i="3"/>
  <c r="C14" i="3"/>
  <c r="A15" i="3"/>
  <c r="A16" i="3"/>
  <c r="A14" i="3"/>
  <c r="D14" i="3"/>
  <c r="B15" i="3"/>
  <c r="F15" i="3"/>
  <c r="D19" i="3" s="1"/>
  <c r="B14" i="3"/>
  <c r="C15" i="3"/>
  <c r="B7" i="2"/>
  <c r="B6" i="2"/>
  <c r="A6" i="2"/>
  <c r="A5" i="2"/>
  <c r="B8" i="2"/>
  <c r="A8" i="2"/>
  <c r="A7" i="2"/>
  <c r="B5" i="2"/>
  <c r="E19" i="3"/>
  <c r="C8" i="2"/>
  <c r="E8" i="2" s="1"/>
  <c r="C5" i="2"/>
  <c r="E5" i="2" s="1"/>
  <c r="C7" i="2"/>
  <c r="E7" i="2" s="1"/>
  <c r="C6" i="2"/>
  <c r="E6" i="2" s="1"/>
  <c r="F6" i="2" l="1"/>
  <c r="F7" i="2"/>
  <c r="F5" i="2"/>
  <c r="F8" i="2"/>
  <c r="B10" i="2"/>
  <c r="C10" i="2"/>
  <c r="A13" i="2" a="1"/>
  <c r="A17" i="2"/>
  <c r="A15" i="2"/>
  <c r="D15" i="2"/>
  <c r="D16" i="2"/>
  <c r="A14" i="2"/>
  <c r="C14" i="2"/>
  <c r="E14" i="2"/>
  <c r="C17" i="2"/>
  <c r="E15" i="2"/>
  <c r="F15" i="2"/>
  <c r="A16" i="2"/>
  <c r="D17" i="2"/>
  <c r="C13" i="2"/>
  <c r="E16" i="2"/>
  <c r="B14" i="2"/>
  <c r="G14" i="2"/>
  <c r="B13" i="2"/>
  <c r="F17" i="2"/>
  <c r="B17" i="2"/>
  <c r="G17" i="2"/>
  <c r="D14" i="2"/>
  <c r="F13" i="2"/>
  <c r="A13" i="2"/>
  <c r="D13" i="2"/>
  <c r="B16" i="2"/>
  <c r="G16" i="2"/>
  <c r="E13" i="2"/>
  <c r="C16" i="2"/>
  <c r="F16" i="2"/>
  <c r="F14" i="2"/>
  <c r="B15" i="2"/>
  <c r="G15" i="2"/>
  <c r="E17" i="2"/>
  <c r="C15" i="2"/>
</calcChain>
</file>

<file path=xl/sharedStrings.xml><?xml version="1.0" encoding="utf-8"?>
<sst xmlns="http://schemas.openxmlformats.org/spreadsheetml/2006/main" count="55" uniqueCount="50">
  <si>
    <t>QuantExt FX-linked cashflows: setup</t>
  </si>
  <si>
    <t>Dates and fixings follow the Cross_Currency_Swap_rebalancing regression test; curves are flat.</t>
  </si>
  <si>
    <t>Item</t>
  </si>
  <si>
    <t>Value</t>
  </si>
  <si>
    <t>Error</t>
  </si>
  <si>
    <t>Evaluation date</t>
  </si>
  <si>
    <t>EUR flat rate</t>
  </si>
  <si>
    <t>USD flat rate</t>
  </si>
  <si>
    <t>EUR/USD spot</t>
  </si>
  <si>
    <t>EUR/USD spot quote</t>
  </si>
  <si>
    <t>USD/EUR spot quote</t>
  </si>
  <si>
    <t>EUR curve</t>
  </si>
  <si>
    <t>USD curve</t>
  </si>
  <si>
    <t>FX index EUR/USD (holds the ECB fixings)</t>
  </si>
  <si>
    <t>FX index USD/EUR (inverts the EUR/USD fixings)</t>
  </si>
  <si>
    <t>ECB EUR/USD fixing date</t>
  </si>
  <si>
    <t>ECB EUR/USD fixing value</t>
  </si>
  <si>
    <t>Add FX fixing</t>
  </si>
  <si>
    <t>Euribor 6M</t>
  </si>
  <si>
    <t>EUR-EURIBOR-6M fixing value (2019-08-01)</t>
  </si>
  <si>
    <t>Add Euribor fixing</t>
  </si>
  <si>
    <t>Trade schedule</t>
  </si>
  <si>
    <t>Trigger (all of the above)</t>
  </si>
  <si>
    <t>Schedule dates</t>
  </si>
  <si>
    <t>qlFXLinkedCashFlowLeg: EUR resetting notional flows, foreign amount USD 100m</t>
  </si>
  <si>
    <t>Each flow pays ForeignAmount x USD/EUR fixing. Fixing date = period start less 2 TARGET business days.</t>
  </si>
  <si>
    <t>Payment date</t>
  </si>
  <si>
    <t>Period start</t>
  </si>
  <si>
    <t>FX fixing date</t>
  </si>
  <si>
    <t>Foreign amount (USD)</t>
  </si>
  <si>
    <t>USD/EUR fixing</t>
  </si>
  <si>
    <t>Hand-calculated amount (EUR)</t>
  </si>
  <si>
    <t>Leg</t>
  </si>
  <si>
    <t>qlLegFlowAnalysis</t>
  </si>
  <si>
    <t>Difference vs hand calculation</t>
  </si>
  <si>
    <t>qlFloatingRateFXLinkedNotionalLeg: EUR-EURIBOR-6M + 150bp on an FX-reset notional (USD 100m)</t>
  </si>
  <si>
    <t>Coupon nominal = ForeignAmount x USD/EUR fixing on the FX fixing date of the period.</t>
  </si>
  <si>
    <t>Sub-schedule (2019-08-05 to 2020-08-05)</t>
  </si>
  <si>
    <t>Spread</t>
  </si>
  <si>
    <t>Underlying Euribor leg</t>
  </si>
  <si>
    <t>FX fixing date, period 1</t>
  </si>
  <si>
    <t>FX fixing date, period 2</t>
  </si>
  <si>
    <t>FX-linked notional leg</t>
  </si>
  <si>
    <t>Hand calculation</t>
  </si>
  <si>
    <t>Nominal</t>
  </si>
  <si>
    <t>Euribor fixing</t>
  </si>
  <si>
    <t>Coupon amount</t>
  </si>
  <si>
    <t>Difference</t>
  </si>
  <si>
    <t>Period 1</t>
  </si>
  <si>
    <t>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</si>
</sst>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7ADB-AEE7-47F1-A760-BDC938122707}">
  <dimension ref="A1:E25"/>
  <sheetViews>
    <sheetView tabSelected="1" workbookViewId="0"/>
  </sheetViews>
  <sheetFormatPr defaultRowHeight="14.4" x14ac:dyDescent="0.3"/>
  <cols>
    <col min="1" max="1" width="44.77734375" customWidth="1"/>
    <col min="2" max="2" width="22.77734375" customWidth="1"/>
    <col min="3" max="3" width="30.77734375" customWidth="1"/>
    <col min="5" max="5" width="14.77734375" customWidth="1"/>
  </cols>
  <sheetData>
    <row r="1" spans="1:5" x14ac:dyDescent="0.3">
      <c r="A1" s="2" t="s">
        <v>0</v>
      </c>
    </row>
    <row r="2" spans="1:5" x14ac:dyDescent="0.3">
      <c r="A2" t="s">
        <v>1</v>
      </c>
    </row>
    <row r="4" spans="1:5" x14ac:dyDescent="0.3">
      <c r="A4" s="2" t="s">
        <v>2</v>
      </c>
      <c r="B4" s="2" t="s">
        <v>3</v>
      </c>
      <c r="C4" s="2" t="s">
        <v>4</v>
      </c>
      <c r="E4" s="2" t="s">
        <v>23</v>
      </c>
    </row>
    <row r="5" spans="1:5" x14ac:dyDescent="0.3">
      <c r="A5" t="s">
        <v>5</v>
      </c>
      <c r="B5" t="b">
        <f>_xll.qlSettingsSetEvaluationDate(DATE(2019,12,30),FALSE)</f>
        <v>1</v>
      </c>
      <c r="C5" t="str">
        <f>_xll.ohRangeRetrieveError(B5)</f>
        <v/>
      </c>
      <c r="E5" s="1">
        <f t="array" ref="E5:E25">_xll.qlScheduleDates(B21)</f>
        <v>42405</v>
      </c>
    </row>
    <row r="6" spans="1:5" x14ac:dyDescent="0.3">
      <c r="A6" t="s">
        <v>6</v>
      </c>
      <c r="B6">
        <v>0</v>
      </c>
      <c r="E6" s="1">
        <v>42587</v>
      </c>
    </row>
    <row r="7" spans="1:5" x14ac:dyDescent="0.3">
      <c r="A7" t="s">
        <v>7</v>
      </c>
      <c r="B7">
        <v>0.02</v>
      </c>
      <c r="E7" s="1">
        <v>42772</v>
      </c>
    </row>
    <row r="8" spans="1:5" x14ac:dyDescent="0.3">
      <c r="A8" t="s">
        <v>8</v>
      </c>
      <c r="B8">
        <v>1.1198999999999999</v>
      </c>
      <c r="E8" s="1">
        <v>42954</v>
      </c>
    </row>
    <row r="9" spans="1:5" x14ac:dyDescent="0.3">
      <c r="A9" t="s">
        <v>9</v>
      </c>
      <c r="B9" t="str">
        <f>_xll.qlSimpleQuote("EurUsdSpot",B8,0,FALSE,B5)</f>
        <v>EurUsdSpot#0001</v>
      </c>
      <c r="C9" t="str">
        <f>_xll.ohRangeRetrieveError(B9)</f>
        <v/>
      </c>
      <c r="E9" s="1">
        <v>43136</v>
      </c>
    </row>
    <row r="10" spans="1:5" x14ac:dyDescent="0.3">
      <c r="A10" t="s">
        <v>10</v>
      </c>
      <c r="B10" t="str">
        <f>_xll.qlSimpleQuote("UsdEurSpot",1/B8,0,FALSE,B5)</f>
        <v>UsdEurSpot#0001</v>
      </c>
      <c r="C10" t="str">
        <f>_xll.ohRangeRetrieveError(B10)</f>
        <v/>
      </c>
      <c r="E10" s="1">
        <v>43318</v>
      </c>
    </row>
    <row r="11" spans="1:5" x14ac:dyDescent="0.3">
      <c r="A11" t="s">
        <v>11</v>
      </c>
      <c r="B11" t="str">
        <f>_xll.qlFlatForward("EurCurve",0,"TARGET",B6,"Actual/365 (Fixed)","Continuous","Annual",FALSE,B5)</f>
        <v>EurCurve#0001</v>
      </c>
      <c r="C11" t="str">
        <f>_xll.ohRangeRetrieveError(B11)</f>
        <v/>
      </c>
      <c r="E11" s="1">
        <v>43501</v>
      </c>
    </row>
    <row r="12" spans="1:5" x14ac:dyDescent="0.3">
      <c r="A12" t="s">
        <v>12</v>
      </c>
      <c r="B12" t="str">
        <f>_xll.qlFlatForward("UsdCurve",0,"TARGET",B7,"Actual/365 (Fixed)","Continuous","Annual",FALSE,B5)</f>
        <v>UsdCurve#0001</v>
      </c>
      <c r="C12" t="str">
        <f>_xll.ohRangeRetrieveError(B12)</f>
        <v/>
      </c>
      <c r="E12" s="1">
        <v>43682</v>
      </c>
    </row>
    <row r="13" spans="1:5" x14ac:dyDescent="0.3">
      <c r="A13" t="s">
        <v>13</v>
      </c>
      <c r="B13" t="str">
        <f>_xll.qlFxIndex("FxEurUsd","ECB",2,"EUR","USD","TARGET",B9,B11,B12,TRUE,FALSE,B5)</f>
        <v>FxEurUsd#0001</v>
      </c>
      <c r="C13" t="str">
        <f>_xll.ohRangeRetrieveError(B13)</f>
        <v/>
      </c>
      <c r="E13" s="1">
        <v>43866</v>
      </c>
    </row>
    <row r="14" spans="1:5" x14ac:dyDescent="0.3">
      <c r="A14" t="s">
        <v>14</v>
      </c>
      <c r="B14" t="str">
        <f>_xll.qlFxIndex("FxUsdEur","ECB",2,"USD","EUR","TARGET",B10,B12,B11,TRUE,FALSE,B5)</f>
        <v>FxUsdEur#0001</v>
      </c>
      <c r="C14" t="str">
        <f>_xll.ohRangeRetrieveError(B14)</f>
        <v/>
      </c>
      <c r="E14" s="1">
        <v>44048</v>
      </c>
    </row>
    <row r="15" spans="1:5" x14ac:dyDescent="0.3">
      <c r="A15" t="s">
        <v>15</v>
      </c>
      <c r="B15" s="1">
        <f>DATE(2019,8,1)</f>
        <v>43678</v>
      </c>
      <c r="E15" s="1">
        <v>44232</v>
      </c>
    </row>
    <row r="16" spans="1:5" x14ac:dyDescent="0.3">
      <c r="A16" t="s">
        <v>16</v>
      </c>
      <c r="B16">
        <v>1.1036999999999999</v>
      </c>
      <c r="E16" s="1">
        <v>44413</v>
      </c>
    </row>
    <row r="17" spans="1:5" x14ac:dyDescent="0.3">
      <c r="A17" t="s">
        <v>17</v>
      </c>
      <c r="B17" t="b">
        <f>_xll.qlIndexAddFixings(B13,B15,B16,TRUE)</f>
        <v>1</v>
      </c>
      <c r="C17" t="str">
        <f>_xll.ohRangeRetrieveError(B17)</f>
        <v/>
      </c>
      <c r="E17" s="1">
        <v>44599</v>
      </c>
    </row>
    <row r="18" spans="1:5" x14ac:dyDescent="0.3">
      <c r="A18" t="s">
        <v>18</v>
      </c>
      <c r="B18" t="str">
        <f>_xll.qlEuribor("Euribor6M","6M",B11,FALSE,B5)</f>
        <v>Euribor6M#0001</v>
      </c>
      <c r="C18" t="str">
        <f>_xll.ohRangeRetrieveError(B18)</f>
        <v/>
      </c>
      <c r="E18" s="1">
        <v>44778</v>
      </c>
    </row>
    <row r="19" spans="1:5" x14ac:dyDescent="0.3">
      <c r="A19" t="s">
        <v>19</v>
      </c>
      <c r="B19">
        <v>-3.63E-3</v>
      </c>
      <c r="E19" s="1">
        <v>44963</v>
      </c>
    </row>
    <row r="20" spans="1:5" x14ac:dyDescent="0.3">
      <c r="A20" t="s">
        <v>20</v>
      </c>
      <c r="B20" t="b">
        <f>_xll.qlIndexAddFixings(B18,B15,B19,TRUE)</f>
        <v>1</v>
      </c>
      <c r="C20" t="str">
        <f>_xll.ohRangeRetrieveError(B20)</f>
        <v/>
      </c>
      <c r="E20" s="1">
        <v>45145</v>
      </c>
    </row>
    <row r="21" spans="1:5" x14ac:dyDescent="0.3">
      <c r="A21" t="s">
        <v>21</v>
      </c>
      <c r="B21" t="str">
        <f>_xll.qlSchedule("TradeSchedule",DATE(2016,2,5),DATE(2026,2,5),"6M","TARGET","Modified Following","Modified Following","Forward",FALSE,,,FALSE,B5)</f>
        <v>TradeSchedule#0001</v>
      </c>
      <c r="C21" t="str">
        <f>_xll.ohRangeRetrieveError(B21)</f>
        <v/>
      </c>
      <c r="E21" s="1">
        <v>45327</v>
      </c>
    </row>
    <row r="22" spans="1:5" x14ac:dyDescent="0.3">
      <c r="A22" t="s">
        <v>22</v>
      </c>
      <c r="B22" t="b">
        <f>AND(B17,B20,NOT(ISERROR(B14)),NOT(ISERROR(B21)))</f>
        <v>1</v>
      </c>
      <c r="E22" s="1">
        <v>45509</v>
      </c>
    </row>
    <row r="23" spans="1:5" x14ac:dyDescent="0.3">
      <c r="E23" s="1">
        <v>45693</v>
      </c>
    </row>
    <row r="24" spans="1:5" x14ac:dyDescent="0.3">
      <c r="E24" s="1">
        <v>45874</v>
      </c>
    </row>
    <row r="25" spans="1:5" x14ac:dyDescent="0.3">
      <c r="E25" s="1">
        <v>46058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0E54-2FFD-402C-984D-5DC4D3454E54}">
  <dimension ref="A1:G17"/>
  <sheetViews>
    <sheetView workbookViewId="0"/>
  </sheetViews>
  <sheetFormatPr defaultRowHeight="14.4" x14ac:dyDescent="0.3"/>
  <cols>
    <col min="1" max="7" width="22.77734375" customWidth="1"/>
  </cols>
  <sheetData>
    <row r="1" spans="1:7" x14ac:dyDescent="0.3">
      <c r="A1" s="2" t="s">
        <v>24</v>
      </c>
    </row>
    <row r="2" spans="1:7" x14ac:dyDescent="0.3">
      <c r="A2" t="s">
        <v>25</v>
      </c>
    </row>
    <row r="4" spans="1:7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</row>
    <row r="5" spans="1:7" x14ac:dyDescent="0.3">
      <c r="A5" s="1">
        <f>Setup!E13</f>
        <v>43866</v>
      </c>
      <c r="B5" s="1">
        <f>Setup!E12</f>
        <v>43682</v>
      </c>
      <c r="C5" s="1">
        <f>_xll.qlCalendarAdvance("TARGET",B5,"-2D")</f>
        <v>43678</v>
      </c>
      <c r="D5">
        <v>-100000000</v>
      </c>
      <c r="E5">
        <f>_xll.qlIndexFixing(Setup!$B$14,C5,FALSE,Setup!$B$22)</f>
        <v>0.90604330887016404</v>
      </c>
      <c r="F5">
        <f>D5*E5</f>
        <v>-90604330.887016401</v>
      </c>
    </row>
    <row r="6" spans="1:7" x14ac:dyDescent="0.3">
      <c r="A6" s="1">
        <f>Setup!E13</f>
        <v>43866</v>
      </c>
      <c r="B6" s="1">
        <f>Setup!E13</f>
        <v>43866</v>
      </c>
      <c r="C6" s="1">
        <f>_xll.qlCalendarAdvance("TARGET",B6,"-2D")</f>
        <v>43864</v>
      </c>
      <c r="D6">
        <v>100000000</v>
      </c>
      <c r="E6">
        <f>_xll.qlIndexFixing(Setup!$B$14,C6,FALSE,Setup!$B$22)</f>
        <v>0.89127486439342307</v>
      </c>
      <c r="F6">
        <f>D6*E6</f>
        <v>89127486.439342305</v>
      </c>
    </row>
    <row r="7" spans="1:7" x14ac:dyDescent="0.3">
      <c r="A7" s="1">
        <f>Setup!E14</f>
        <v>44048</v>
      </c>
      <c r="B7" s="1">
        <f>Setup!E13</f>
        <v>43866</v>
      </c>
      <c r="C7" s="1">
        <f>_xll.qlCalendarAdvance("TARGET",B7,"-2D")</f>
        <v>43864</v>
      </c>
      <c r="D7">
        <v>-100000000</v>
      </c>
      <c r="E7">
        <f>_xll.qlIndexFixing(Setup!$B$14,C7,FALSE,Setup!$B$22)</f>
        <v>0.89127486439342307</v>
      </c>
      <c r="F7">
        <f>D7*E7</f>
        <v>-89127486.439342305</v>
      </c>
    </row>
    <row r="8" spans="1:7" x14ac:dyDescent="0.3">
      <c r="A8" s="1">
        <f>Setup!E14</f>
        <v>44048</v>
      </c>
      <c r="B8" s="1">
        <f>Setup!E14</f>
        <v>44048</v>
      </c>
      <c r="C8" s="1">
        <f>_xll.qlCalendarAdvance("TARGET",B8,"-2D")</f>
        <v>44046</v>
      </c>
      <c r="D8">
        <v>100000000</v>
      </c>
      <c r="E8">
        <f>_xll.qlIndexFixing(Setup!$B$14,C8,FALSE,Setup!$B$22)</f>
        <v>0.88243070717010152</v>
      </c>
      <c r="F8">
        <f>D8*E8</f>
        <v>88243070.717010155</v>
      </c>
    </row>
    <row r="10" spans="1:7" x14ac:dyDescent="0.3">
      <c r="A10" t="s">
        <v>32</v>
      </c>
      <c r="B10" t="str">
        <f>_xll.qlFXLinkedCashFlowLeg("FxLinkedLeg",A5:A8,C5:C8,D5:D8,Setup!B14,FALSE,Setup!B22)</f>
        <v>FxLinkedLeg#0001</v>
      </c>
      <c r="C10" t="str">
        <f>_xll.ohRangeRetrieveError(B10)</f>
        <v/>
      </c>
    </row>
    <row r="12" spans="1:7" x14ac:dyDescent="0.3">
      <c r="A12" s="2" t="s">
        <v>33</v>
      </c>
    </row>
    <row r="13" spans="1:7" x14ac:dyDescent="0.3">
      <c r="A13" t="str">
        <f t="array" ref="A13:F17">_xll.qlLegFlowAnalysis(B10)</f>
        <v>Payment Date</v>
      </c>
      <c r="B13" t="str">
        <v>Amount</v>
      </c>
      <c r="C13" t="str">
        <v>Nominal</v>
      </c>
      <c r="D13" t="str">
        <v>Accrual Start Date</v>
      </c>
      <c r="E13" t="str">
        <v>Accrual End Date</v>
      </c>
      <c r="F13" t="str">
        <v>Accrual Days</v>
      </c>
      <c r="G13" s="2" t="s">
        <v>34</v>
      </c>
    </row>
    <row r="14" spans="1:7" x14ac:dyDescent="0.3">
      <c r="A14" s="1">
        <v>43866</v>
      </c>
      <c r="B14">
        <v>-90604330.887016401</v>
      </c>
      <c r="C14" t="str">
        <v>#N/A</v>
      </c>
      <c r="D14" t="str">
        <v>#N/A</v>
      </c>
      <c r="E14" t="str">
        <v>#N/A</v>
      </c>
      <c r="F14" t="str">
        <v>#N/A</v>
      </c>
      <c r="G14">
        <f>B14-F5</f>
        <v>0</v>
      </c>
    </row>
    <row r="15" spans="1:7" x14ac:dyDescent="0.3">
      <c r="A15" s="1">
        <v>43866</v>
      </c>
      <c r="B15">
        <v>89127486.439342305</v>
      </c>
      <c r="C15" t="str">
        <v>#N/A</v>
      </c>
      <c r="D15" t="str">
        <v>#N/A</v>
      </c>
      <c r="E15" t="str">
        <v>#N/A</v>
      </c>
      <c r="F15" t="str">
        <v>#N/A</v>
      </c>
      <c r="G15">
        <f>B15-F6</f>
        <v>0</v>
      </c>
    </row>
    <row r="16" spans="1:7" x14ac:dyDescent="0.3">
      <c r="A16" s="1">
        <v>44048</v>
      </c>
      <c r="B16">
        <v>-89127486.439342305</v>
      </c>
      <c r="C16" t="str">
        <v>#N/A</v>
      </c>
      <c r="D16" t="str">
        <v>#N/A</v>
      </c>
      <c r="E16" t="str">
        <v>#N/A</v>
      </c>
      <c r="F16" t="str">
        <v>#N/A</v>
      </c>
      <c r="G16">
        <f>B16-F7</f>
        <v>0</v>
      </c>
    </row>
    <row r="17" spans="1:7" x14ac:dyDescent="0.3">
      <c r="A17" s="1">
        <v>44048</v>
      </c>
      <c r="B17">
        <v>88243070.717010155</v>
      </c>
      <c r="C17" t="str">
        <v>#N/A</v>
      </c>
      <c r="D17" t="str">
        <v>#N/A</v>
      </c>
      <c r="E17" t="str">
        <v>#N/A</v>
      </c>
      <c r="F17" t="str">
        <v>#N/A</v>
      </c>
      <c r="G17">
        <f>B17-F8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26D5-F992-4B5C-A57F-E8D276171C98}">
  <dimension ref="A1:F20"/>
  <sheetViews>
    <sheetView workbookViewId="0"/>
  </sheetViews>
  <sheetFormatPr defaultRowHeight="14.4" x14ac:dyDescent="0.3"/>
  <cols>
    <col min="1" max="1" width="40.77734375" customWidth="1"/>
    <col min="2" max="6" width="20.77734375" customWidth="1"/>
  </cols>
  <sheetData>
    <row r="1" spans="1:6" x14ac:dyDescent="0.3">
      <c r="A1" s="2" t="s">
        <v>35</v>
      </c>
    </row>
    <row r="2" spans="1:6" x14ac:dyDescent="0.3">
      <c r="A2" t="s">
        <v>36</v>
      </c>
    </row>
    <row r="4" spans="1:6" x14ac:dyDescent="0.3">
      <c r="A4" s="2" t="s">
        <v>2</v>
      </c>
      <c r="B4" s="2" t="s">
        <v>3</v>
      </c>
      <c r="C4" s="2" t="s">
        <v>4</v>
      </c>
    </row>
    <row r="5" spans="1:6" x14ac:dyDescent="0.3">
      <c r="A5" t="s">
        <v>37</v>
      </c>
      <c r="B5" t="str">
        <f>_xll.qlSchedule("SubSchedule",Setup!E12,Setup!E14,"6M","TARGET","Modified Following","Modified Following","Forward",FALSE,,,FALSE,Setup!B22)</f>
        <v>SubSchedule#0001</v>
      </c>
      <c r="C5" t="str">
        <f>_xll.ohRangeRetrieveError(B5)</f>
        <v/>
      </c>
    </row>
    <row r="6" spans="1:6" x14ac:dyDescent="0.3">
      <c r="A6" t="s">
        <v>38</v>
      </c>
      <c r="B6">
        <v>1.4999999999999999E-2</v>
      </c>
    </row>
    <row r="7" spans="1:6" x14ac:dyDescent="0.3">
      <c r="A7" t="s">
        <v>39</v>
      </c>
      <c r="B7" t="str">
        <f>_xll.qlIborLeg("EuriborLeg","Modified Following",{1},B5,{2},FALSE,"Actual/360",,,Setup!B18,B6)</f>
        <v>EuriborLeg#0001</v>
      </c>
      <c r="C7" t="str">
        <f>_xll.ohRangeRetrieveError(B7)</f>
        <v/>
      </c>
    </row>
    <row r="8" spans="1:6" x14ac:dyDescent="0.3">
      <c r="A8" t="s">
        <v>29</v>
      </c>
      <c r="B8">
        <v>100000000</v>
      </c>
    </row>
    <row r="9" spans="1:6" x14ac:dyDescent="0.3">
      <c r="A9" t="s">
        <v>40</v>
      </c>
      <c r="B9" s="1">
        <f>_xll.qlCalendarAdvance("TARGET",Setup!E12,"-2D")</f>
        <v>43678</v>
      </c>
    </row>
    <row r="10" spans="1:6" x14ac:dyDescent="0.3">
      <c r="A10" t="s">
        <v>41</v>
      </c>
      <c r="B10" s="1">
        <f>_xll.qlCalendarAdvance("TARGET",Setup!E13,"-2D")</f>
        <v>43864</v>
      </c>
    </row>
    <row r="11" spans="1:6" x14ac:dyDescent="0.3">
      <c r="A11" t="s">
        <v>42</v>
      </c>
      <c r="B11" t="str">
        <f>_xll.qlFloatingRateFXLinkedNotionalLeg("FxNotionalLeg",B7,B9:B10,B8,Setup!B14,FALSE,Setup!B22)</f>
        <v>FxNotionalLeg#0001</v>
      </c>
      <c r="C11" t="str">
        <f>_xll.ohRangeRetrieveError(B11)</f>
        <v/>
      </c>
    </row>
    <row r="13" spans="1:6" x14ac:dyDescent="0.3">
      <c r="A13" s="2" t="s">
        <v>33</v>
      </c>
    </row>
    <row r="14" spans="1:6" x14ac:dyDescent="0.3">
      <c r="A14" t="str">
        <f t="array" ref="A14:F16">_xll.qlLegFlowAnalysis(B11)</f>
        <v>Payment Date</v>
      </c>
      <c r="B14" t="str">
        <v>Amount</v>
      </c>
      <c r="C14" t="str">
        <v>Nominal</v>
      </c>
      <c r="D14" t="str">
        <v>Accrual Start Date</v>
      </c>
      <c r="E14" t="str">
        <v>Accrual End Date</v>
      </c>
      <c r="F14" t="str">
        <v>Accrual Days</v>
      </c>
    </row>
    <row r="15" spans="1:6" x14ac:dyDescent="0.3">
      <c r="A15" s="1">
        <v>43866</v>
      </c>
      <c r="B15">
        <v>526531.96822808124</v>
      </c>
      <c r="C15">
        <v>90604330.887016401</v>
      </c>
      <c r="D15" s="1">
        <v>43682</v>
      </c>
      <c r="E15" s="1">
        <v>43866</v>
      </c>
      <c r="F15">
        <v>184</v>
      </c>
    </row>
    <row r="16" spans="1:6" x14ac:dyDescent="0.3">
      <c r="A16" s="1">
        <v>44048</v>
      </c>
      <c r="B16">
        <v>675883.43883167906</v>
      </c>
      <c r="C16">
        <v>89127486.439342305</v>
      </c>
      <c r="D16" s="1">
        <v>43866</v>
      </c>
      <c r="E16" s="1">
        <v>44048</v>
      </c>
      <c r="F16">
        <v>182</v>
      </c>
    </row>
    <row r="18" spans="1:5" x14ac:dyDescent="0.3">
      <c r="A18" s="2" t="s">
        <v>43</v>
      </c>
      <c r="B18" s="2" t="s">
        <v>44</v>
      </c>
      <c r="C18" s="2" t="s">
        <v>45</v>
      </c>
      <c r="D18" s="2" t="s">
        <v>46</v>
      </c>
      <c r="E18" s="2" t="s">
        <v>47</v>
      </c>
    </row>
    <row r="19" spans="1:5" x14ac:dyDescent="0.3">
      <c r="A19" t="s">
        <v>48</v>
      </c>
      <c r="B19">
        <f>B8*_xll.qlIndexFixing(Setup!B14,B9,FALSE,Setup!B22)</f>
        <v>90604330.887016401</v>
      </c>
      <c r="C19">
        <f>_xll.qlIndexFixing(Setup!B18,B9,FALSE,Setup!B22)</f>
        <v>-3.63E-3</v>
      </c>
      <c r="D19">
        <f>B19*(C19+B6)*F15/360</f>
        <v>526531.96822808124</v>
      </c>
      <c r="E19">
        <f>B15-D19</f>
        <v>0</v>
      </c>
    </row>
    <row r="20" spans="1:5" x14ac:dyDescent="0.3">
      <c r="A20" t="s">
        <v>49</v>
      </c>
      <c r="B20">
        <f>B8*_xll.qlIndexFixing(Setup!B14,B10,FALSE,Setup!B22)</f>
        <v>89127486.439342305</v>
      </c>
      <c r="C20">
        <f>_xll.qlIndexFixing(Setup!B18,B10,FALSE,Setup!B22)</f>
        <v>0</v>
      </c>
      <c r="D20">
        <f>B20*(C20+B6)*F16/360</f>
        <v>675883.43883167906</v>
      </c>
      <c r="E20">
        <f>B16-D20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FXLinkedCashFlowLeg</vt:lpstr>
      <vt:lpstr>FXLinkedNotionalLeg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Ehlers, Eric</dc:creator>
  <cp:lastModifiedBy>Ehlers, Eric</cp:lastModifiedBy>
  <dcterms:created xsi:type="dcterms:W3CDTF">2026-10-07T08:50:53Z</dcterms:created>
  <dcterms:modified xsi:type="dcterms:W3CDTF">2026-10-07T08:51:00Z</dcterms:modified>
</cp:coreProperties>
</file>