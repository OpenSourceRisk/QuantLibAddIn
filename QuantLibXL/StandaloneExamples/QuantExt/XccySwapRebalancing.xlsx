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rik\repos\qla-dx1-ee\QuantLibXL\StandaloneExamples\QuantExt\"/>
    </mc:Choice>
  </mc:AlternateContent>
  <xr:revisionPtr revIDLastSave="0" documentId="13_ncr:1_{D40AE893-D53E-4D3E-9791-0AB5E29137CF}" xr6:coauthVersionLast="47" xr6:coauthVersionMax="47" xr10:uidLastSave="{00000000-0000-0000-0000-000000000000}"/>
  <bookViews>
    <workbookView xWindow="-120" yWindow="-16320" windowWidth="29040" windowHeight="15720" xr2:uid="{1217B69E-76A2-4C36-81B9-92631D1CA28D}"/>
  </bookViews>
  <sheets>
    <sheet name="MarketData" sheetId="1" r:id="rId1"/>
    <sheet name="Indexes" sheetId="3" r:id="rId2"/>
    <sheet name="USD-FedFunds" sheetId="8" r:id="rId3"/>
    <sheet name="EUR-EONIA" sheetId="9" r:id="rId4"/>
    <sheet name="USD-LIBOR-3M" sheetId="18" r:id="rId5"/>
    <sheet name="USD-LIBOR-6M" sheetId="19" r:id="rId6"/>
    <sheet name="EUR-EURIBOR-6M" sheetId="20" r:id="rId7"/>
    <sheet name="EUR-EURIBOR-3M" sheetId="21" r:id="rId8"/>
    <sheet name="EUR-IN-USD" sheetId="23" r:id="rId9"/>
    <sheet name="Trade" sheetId="2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111" i="25" l="1"/>
  <c r="AH109" i="25"/>
  <c r="AF109" i="25"/>
  <c r="AE109" i="25"/>
  <c r="AH108" i="25"/>
  <c r="AF108" i="25"/>
  <c r="AE108" i="25"/>
  <c r="AH107" i="25"/>
  <c r="AF107" i="25"/>
  <c r="AE107" i="25"/>
  <c r="AH106" i="25"/>
  <c r="AF106" i="25"/>
  <c r="AE106" i="25"/>
  <c r="AH105" i="25"/>
  <c r="AF105" i="25"/>
  <c r="AE105" i="25"/>
  <c r="AH104" i="25"/>
  <c r="AF104" i="25"/>
  <c r="AE104" i="25"/>
  <c r="AH103" i="25"/>
  <c r="AF103" i="25"/>
  <c r="AE103" i="25"/>
  <c r="AH102" i="25"/>
  <c r="AF102" i="25"/>
  <c r="AE102" i="25"/>
  <c r="AH101" i="25"/>
  <c r="AF101" i="25"/>
  <c r="AE101" i="25"/>
  <c r="AH100" i="25"/>
  <c r="AF100" i="25"/>
  <c r="AE100" i="25"/>
  <c r="AH99" i="25"/>
  <c r="AF99" i="25"/>
  <c r="AE99" i="25"/>
  <c r="AH98" i="25"/>
  <c r="AF98" i="25"/>
  <c r="AE98" i="25"/>
  <c r="AH97" i="25"/>
  <c r="AF97" i="25"/>
  <c r="AE97" i="25"/>
  <c r="AH96" i="25"/>
  <c r="AF96" i="25"/>
  <c r="AE96" i="25"/>
  <c r="AH95" i="25"/>
  <c r="AF95" i="25"/>
  <c r="AE95" i="25"/>
  <c r="AH94" i="25"/>
  <c r="AF94" i="25"/>
  <c r="AE94" i="25"/>
  <c r="AH93" i="25"/>
  <c r="AF93" i="25"/>
  <c r="AE93" i="25"/>
  <c r="AH92" i="25"/>
  <c r="AF92" i="25"/>
  <c r="AE92" i="25"/>
  <c r="AH91" i="25"/>
  <c r="AF91" i="25"/>
  <c r="AE91" i="25"/>
  <c r="AH90" i="25"/>
  <c r="AF90" i="25"/>
  <c r="AE90" i="25"/>
  <c r="AH89" i="25"/>
  <c r="AF89" i="25"/>
  <c r="AE89" i="25"/>
  <c r="AH88" i="25"/>
  <c r="AF88" i="25"/>
  <c r="AE88" i="25"/>
  <c r="AH87" i="25"/>
  <c r="AF87" i="25"/>
  <c r="AE87" i="25"/>
  <c r="AH86" i="25"/>
  <c r="AF86" i="25"/>
  <c r="AE86" i="25"/>
  <c r="AH85" i="25"/>
  <c r="AF85" i="25"/>
  <c r="AE85" i="25"/>
  <c r="AH84" i="25"/>
  <c r="AF84" i="25"/>
  <c r="AE84" i="25"/>
  <c r="AH83" i="25"/>
  <c r="AF83" i="25"/>
  <c r="AE83" i="25"/>
  <c r="AH82" i="25"/>
  <c r="AF82" i="25"/>
  <c r="AE82" i="25"/>
  <c r="AH81" i="25"/>
  <c r="AF81" i="25"/>
  <c r="AE81" i="25"/>
  <c r="AH80" i="25"/>
  <c r="AF80" i="25"/>
  <c r="AE80" i="25"/>
  <c r="AH79" i="25"/>
  <c r="AF79" i="25"/>
  <c r="AE79" i="25"/>
  <c r="AH78" i="25"/>
  <c r="AF78" i="25"/>
  <c r="AE78" i="25"/>
  <c r="AH77" i="25"/>
  <c r="AF77" i="25"/>
  <c r="AE77" i="25"/>
  <c r="AH76" i="25"/>
  <c r="AF76" i="25"/>
  <c r="AE76" i="25"/>
  <c r="AH75" i="25"/>
  <c r="AF75" i="25"/>
  <c r="AE75" i="25"/>
  <c r="AH74" i="25"/>
  <c r="AF74" i="25"/>
  <c r="AE74" i="25"/>
  <c r="AH73" i="25"/>
  <c r="AF73" i="25"/>
  <c r="AE73" i="25"/>
  <c r="AH72" i="25"/>
  <c r="AF72" i="25"/>
  <c r="AE72" i="25"/>
  <c r="AH71" i="25"/>
  <c r="AF71" i="25"/>
  <c r="AE71" i="25"/>
  <c r="AH70" i="25"/>
  <c r="AF70" i="25"/>
  <c r="AE70" i="25"/>
  <c r="AH69" i="25"/>
  <c r="AF69" i="25"/>
  <c r="AE69" i="25"/>
  <c r="AH68" i="25"/>
  <c r="AF68" i="25"/>
  <c r="AE68" i="25"/>
  <c r="AH67" i="25"/>
  <c r="AF67" i="25"/>
  <c r="AE67" i="25"/>
  <c r="AH66" i="25"/>
  <c r="AF66" i="25"/>
  <c r="AE66" i="25"/>
  <c r="AH65" i="25"/>
  <c r="AF65" i="25"/>
  <c r="AE65" i="25"/>
  <c r="AH64" i="25"/>
  <c r="AF64" i="25"/>
  <c r="AE64" i="25"/>
  <c r="AH63" i="25"/>
  <c r="AF63" i="25"/>
  <c r="AE63" i="25"/>
  <c r="AH62" i="25"/>
  <c r="AF62" i="25"/>
  <c r="AE62" i="25"/>
  <c r="AH61" i="25"/>
  <c r="AF61" i="25"/>
  <c r="AE61" i="25"/>
  <c r="AH60" i="25"/>
  <c r="AF60" i="25"/>
  <c r="AE60" i="25"/>
  <c r="AH59" i="25"/>
  <c r="AF59" i="25"/>
  <c r="AE59" i="25"/>
  <c r="AH58" i="25"/>
  <c r="AF58" i="25"/>
  <c r="AE58" i="25"/>
  <c r="AH57" i="25"/>
  <c r="AF57" i="25"/>
  <c r="AE57" i="25"/>
  <c r="AH56" i="25"/>
  <c r="AF56" i="25"/>
  <c r="AE56" i="25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C29" i="3"/>
  <c r="B29" i="3"/>
  <c r="C28" i="3"/>
  <c r="B28" i="3"/>
  <c r="C27" i="3"/>
  <c r="B27" i="3"/>
  <c r="C26" i="3"/>
  <c r="B26" i="3"/>
  <c r="H10" i="1"/>
  <c r="A29" i="3" s="1"/>
  <c r="H9" i="1"/>
  <c r="A28" i="3" s="1"/>
  <c r="H8" i="1"/>
  <c r="A27" i="3" s="1"/>
  <c r="H7" i="1"/>
  <c r="A26" i="3" s="1"/>
  <c r="B4" i="1"/>
  <c r="E128" i="1"/>
  <c r="E143" i="1"/>
  <c r="E46" i="1"/>
  <c r="E173" i="1"/>
  <c r="E69" i="1"/>
  <c r="E171" i="1"/>
  <c r="E117" i="1"/>
  <c r="E157" i="1"/>
  <c r="E122" i="1"/>
  <c r="E126" i="1"/>
  <c r="E138" i="1"/>
  <c r="E28" i="1"/>
  <c r="E146" i="1"/>
  <c r="E164" i="1"/>
  <c r="B7" i="3"/>
  <c r="E150" i="1"/>
  <c r="E81" i="1"/>
  <c r="E168" i="1"/>
  <c r="E57" i="1"/>
  <c r="E155" i="1"/>
  <c r="E20" i="1"/>
  <c r="E186" i="1"/>
  <c r="E142" i="1"/>
  <c r="E120" i="1"/>
  <c r="E162" i="1"/>
  <c r="E22" i="1"/>
  <c r="E67" i="1"/>
  <c r="E184" i="1"/>
  <c r="B40" i="25"/>
  <c r="E156" i="1"/>
  <c r="E208" i="1"/>
  <c r="E187" i="1"/>
  <c r="E130" i="1"/>
  <c r="E195" i="1"/>
  <c r="E102" i="1"/>
  <c r="E78" i="1"/>
  <c r="E141" i="1"/>
  <c r="E11" i="1"/>
  <c r="E35" i="1"/>
  <c r="E36" i="1"/>
  <c r="E70" i="1"/>
  <c r="E175" i="1"/>
  <c r="E29" i="1"/>
  <c r="E101" i="1"/>
  <c r="E66" i="1"/>
  <c r="E197" i="1"/>
  <c r="E21" i="1"/>
  <c r="E75" i="1"/>
  <c r="E204" i="1"/>
  <c r="E100" i="1"/>
  <c r="E79" i="1"/>
  <c r="E30" i="1"/>
  <c r="E181" i="1"/>
  <c r="E16" i="1"/>
  <c r="E55" i="1"/>
  <c r="C4" i="1"/>
  <c r="E172" i="1"/>
  <c r="E60" i="1"/>
  <c r="E106" i="1"/>
  <c r="E123" i="1"/>
  <c r="E63" i="1"/>
  <c r="B9" i="3"/>
  <c r="E131" i="1"/>
  <c r="E190" i="1"/>
  <c r="E200" i="1"/>
  <c r="E14" i="1"/>
  <c r="E19" i="1"/>
  <c r="E174" i="1"/>
  <c r="E76" i="1"/>
  <c r="E129" i="1"/>
  <c r="E206" i="1"/>
  <c r="E124" i="1"/>
  <c r="E40" i="1"/>
  <c r="E163" i="1"/>
  <c r="E80" i="1"/>
  <c r="I22" i="3"/>
  <c r="E137" i="1"/>
  <c r="E107" i="1"/>
  <c r="E178" i="1"/>
  <c r="E92" i="1"/>
  <c r="E44" i="1"/>
  <c r="E133" i="1"/>
  <c r="E45" i="1"/>
  <c r="E84" i="1"/>
  <c r="E72" i="1"/>
  <c r="E59" i="1"/>
  <c r="E54" i="1"/>
  <c r="E149" i="1"/>
  <c r="B10" i="3"/>
  <c r="E56" i="1"/>
  <c r="E167" i="1"/>
  <c r="E193" i="1"/>
  <c r="E38" i="1"/>
  <c r="E83" i="1"/>
  <c r="E191" i="1"/>
  <c r="E26" i="1"/>
  <c r="E154" i="1"/>
  <c r="E152" i="1"/>
  <c r="E8" i="1"/>
  <c r="E32" i="1"/>
  <c r="E7" i="1"/>
  <c r="E121" i="1"/>
  <c r="E196" i="1"/>
  <c r="E158" i="1"/>
  <c r="E52" i="1"/>
  <c r="E73" i="1"/>
  <c r="E198" i="1"/>
  <c r="E110" i="1"/>
  <c r="E87" i="1"/>
  <c r="E43" i="1"/>
  <c r="E31" i="1"/>
  <c r="E71" i="1"/>
  <c r="E170" i="1"/>
  <c r="E169" i="1"/>
  <c r="E24" i="1"/>
  <c r="E176" i="1"/>
  <c r="E153" i="1"/>
  <c r="E85" i="1"/>
  <c r="E148" i="1"/>
  <c r="E209" i="1"/>
  <c r="E25" i="1"/>
  <c r="E119" i="1"/>
  <c r="E166" i="1"/>
  <c r="E111" i="1"/>
  <c r="E33" i="1"/>
  <c r="E91" i="1"/>
  <c r="E65" i="1"/>
  <c r="E136" i="1"/>
  <c r="E64" i="1"/>
  <c r="E68" i="1"/>
  <c r="E47" i="1"/>
  <c r="E182" i="1"/>
  <c r="E58" i="1"/>
  <c r="E37" i="1"/>
  <c r="E183" i="1"/>
  <c r="E188" i="1"/>
  <c r="E134" i="1"/>
  <c r="E127" i="1"/>
  <c r="E89" i="1"/>
  <c r="B8" i="3"/>
  <c r="E203" i="1"/>
  <c r="E105" i="1"/>
  <c r="E97" i="1"/>
  <c r="B5" i="3"/>
  <c r="E96" i="1"/>
  <c r="E13" i="1"/>
  <c r="E115" i="1"/>
  <c r="E51" i="1"/>
  <c r="E9" i="1"/>
  <c r="B6" i="3"/>
  <c r="E74" i="1"/>
  <c r="E15" i="1"/>
  <c r="E34" i="1"/>
  <c r="E114" i="1"/>
  <c r="E199" i="1"/>
  <c r="E82" i="1"/>
  <c r="E86" i="1"/>
  <c r="E144" i="1"/>
  <c r="E108" i="1"/>
  <c r="E41" i="1"/>
  <c r="E165" i="1"/>
  <c r="E112" i="1"/>
  <c r="E53" i="1"/>
  <c r="E104" i="1"/>
  <c r="E118" i="1"/>
  <c r="E185" i="1"/>
  <c r="E94" i="1"/>
  <c r="E180" i="1"/>
  <c r="E192" i="1"/>
  <c r="E12" i="1"/>
  <c r="E125" i="1"/>
  <c r="E202" i="1"/>
  <c r="E139" i="1"/>
  <c r="E161" i="1"/>
  <c r="E207" i="1"/>
  <c r="E201" i="1"/>
  <c r="E49" i="1"/>
  <c r="E151" i="1"/>
  <c r="E42" i="1"/>
  <c r="E48" i="1"/>
  <c r="E99" i="1"/>
  <c r="E140" i="1"/>
  <c r="E189" i="1"/>
  <c r="E147" i="1"/>
  <c r="E88" i="1"/>
  <c r="E10" i="1"/>
  <c r="E18" i="1"/>
  <c r="E145" i="1"/>
  <c r="E109" i="1"/>
  <c r="E93" i="1"/>
  <c r="E103" i="1"/>
  <c r="E113" i="1"/>
  <c r="E160" i="1"/>
  <c r="B11" i="3"/>
  <c r="E179" i="1"/>
  <c r="E39" i="1"/>
  <c r="E95" i="1"/>
  <c r="E159" i="1"/>
  <c r="E27" i="1"/>
  <c r="E205" i="1"/>
  <c r="E17" i="1"/>
  <c r="E62" i="1"/>
  <c r="E132" i="1"/>
  <c r="E116" i="1"/>
  <c r="E50" i="1"/>
  <c r="E135" i="1"/>
  <c r="E177" i="1"/>
  <c r="E61" i="1"/>
  <c r="E77" i="1"/>
  <c r="E194" i="1"/>
  <c r="E90" i="1"/>
  <c r="E23" i="1"/>
  <c r="E98" i="1"/>
  <c r="C13" i="23" l="1"/>
  <c r="C23" i="23"/>
  <c r="C10" i="23"/>
  <c r="C21" i="23"/>
  <c r="C28" i="23"/>
  <c r="C5" i="23"/>
  <c r="C7" i="23"/>
  <c r="C30" i="23"/>
  <c r="C33" i="23"/>
  <c r="C20" i="23"/>
  <c r="C27" i="23"/>
  <c r="C6" i="23"/>
  <c r="C26" i="23"/>
  <c r="C9" i="23"/>
  <c r="C11" i="23"/>
  <c r="C19" i="23"/>
  <c r="C15" i="23"/>
  <c r="C35" i="23"/>
  <c r="C12" i="23"/>
  <c r="C14" i="23"/>
  <c r="C31" i="23"/>
  <c r="C18" i="23"/>
  <c r="C34" i="23"/>
  <c r="C29" i="23"/>
  <c r="C24" i="23"/>
  <c r="C25" i="23"/>
  <c r="C36" i="23"/>
  <c r="C32" i="23"/>
  <c r="C16" i="23"/>
  <c r="C8" i="23"/>
  <c r="C22" i="23"/>
  <c r="C17" i="23"/>
  <c r="C27" i="21"/>
  <c r="C20" i="21"/>
  <c r="C14" i="21"/>
  <c r="C11" i="21"/>
  <c r="C13" i="21"/>
  <c r="C26" i="21"/>
  <c r="C8" i="21"/>
  <c r="C17" i="21"/>
  <c r="C6" i="21"/>
  <c r="C9" i="21"/>
  <c r="C30" i="21"/>
  <c r="C7" i="21"/>
  <c r="C31" i="21"/>
  <c r="C24" i="21"/>
  <c r="C10" i="21"/>
  <c r="C15" i="21"/>
  <c r="C19" i="21"/>
  <c r="C5" i="21"/>
  <c r="C16" i="21"/>
  <c r="C22" i="21"/>
  <c r="C18" i="21"/>
  <c r="C12" i="21"/>
  <c r="C28" i="21"/>
  <c r="C21" i="21"/>
  <c r="C29" i="21"/>
  <c r="C25" i="21"/>
  <c r="C23" i="21"/>
  <c r="C17" i="20"/>
  <c r="C26" i="20"/>
  <c r="C9" i="20"/>
  <c r="C11" i="20"/>
  <c r="C22" i="20"/>
  <c r="C29" i="20"/>
  <c r="C21" i="20"/>
  <c r="C5" i="20"/>
  <c r="C28" i="20"/>
  <c r="C6" i="20"/>
  <c r="C10" i="20"/>
  <c r="C23" i="20"/>
  <c r="C12" i="20"/>
  <c r="C25" i="20"/>
  <c r="C18" i="20"/>
  <c r="C19" i="20"/>
  <c r="C20" i="20"/>
  <c r="C13" i="20"/>
  <c r="C8" i="20"/>
  <c r="C24" i="20"/>
  <c r="C27" i="20"/>
  <c r="C16" i="20"/>
  <c r="C14" i="20"/>
  <c r="C15" i="20"/>
  <c r="C7" i="20"/>
  <c r="C24" i="19"/>
  <c r="C18" i="19"/>
  <c r="C16" i="19"/>
  <c r="C22" i="19"/>
  <c r="C12" i="19"/>
  <c r="C27" i="19"/>
  <c r="C7" i="19"/>
  <c r="C28" i="19"/>
  <c r="C11" i="19"/>
  <c r="C17" i="19"/>
  <c r="C20" i="19"/>
  <c r="C15" i="19"/>
  <c r="C21" i="19"/>
  <c r="C13" i="19"/>
  <c r="C10" i="19"/>
  <c r="C25" i="19"/>
  <c r="C19" i="19"/>
  <c r="C14" i="19"/>
  <c r="C8" i="19"/>
  <c r="C5" i="19"/>
  <c r="C9" i="19"/>
  <c r="C26" i="19"/>
  <c r="C6" i="19"/>
  <c r="C23" i="19"/>
  <c r="C18" i="18"/>
  <c r="C23" i="18"/>
  <c r="C29" i="18"/>
  <c r="C21" i="18"/>
  <c r="C6" i="18"/>
  <c r="C22" i="18"/>
  <c r="C8" i="18"/>
  <c r="C11" i="18"/>
  <c r="C17" i="18"/>
  <c r="C20" i="18"/>
  <c r="C26" i="18"/>
  <c r="C14" i="18"/>
  <c r="C7" i="18"/>
  <c r="C9" i="18"/>
  <c r="C27" i="18"/>
  <c r="C19" i="18"/>
  <c r="C13" i="18"/>
  <c r="C25" i="18"/>
  <c r="C24" i="18"/>
  <c r="C16" i="18"/>
  <c r="C10" i="18"/>
  <c r="C30" i="18"/>
  <c r="C28" i="18"/>
  <c r="C15" i="18"/>
  <c r="C5" i="18"/>
  <c r="C12" i="18"/>
  <c r="C28" i="9"/>
  <c r="C26" i="9"/>
  <c r="C20" i="9"/>
  <c r="C14" i="9"/>
  <c r="C24" i="9"/>
  <c r="C29" i="9"/>
  <c r="C18" i="9"/>
  <c r="C17" i="9"/>
  <c r="C21" i="9"/>
  <c r="C22" i="9"/>
  <c r="C6" i="9"/>
  <c r="C36" i="9"/>
  <c r="C37" i="9"/>
  <c r="C32" i="9"/>
  <c r="C34" i="9"/>
  <c r="C30" i="9"/>
  <c r="C19" i="9"/>
  <c r="C8" i="9"/>
  <c r="C15" i="9"/>
  <c r="C33" i="9"/>
  <c r="C11" i="9"/>
  <c r="C13" i="9"/>
  <c r="C27" i="9"/>
  <c r="C23" i="9"/>
  <c r="C35" i="9"/>
  <c r="C5" i="9"/>
  <c r="C38" i="9"/>
  <c r="C7" i="9"/>
  <c r="C12" i="9"/>
  <c r="C16" i="9"/>
  <c r="C10" i="9"/>
  <c r="C31" i="9"/>
  <c r="C9" i="9"/>
  <c r="C25" i="9"/>
  <c r="C7" i="8"/>
  <c r="D25" i="8"/>
  <c r="C21" i="8"/>
  <c r="C11" i="8"/>
  <c r="C23" i="8"/>
  <c r="C28" i="8"/>
  <c r="C16" i="8"/>
  <c r="C15" i="8"/>
  <c r="D23" i="8"/>
  <c r="C17" i="8"/>
  <c r="C24" i="8"/>
  <c r="C12" i="8"/>
  <c r="D28" i="8"/>
  <c r="C13" i="8"/>
  <c r="C29" i="8"/>
  <c r="C18" i="8"/>
  <c r="C5" i="8"/>
  <c r="D24" i="8"/>
  <c r="C22" i="8"/>
  <c r="D21" i="8"/>
  <c r="C27" i="8"/>
  <c r="C9" i="8"/>
  <c r="C20" i="8"/>
  <c r="C14" i="8"/>
  <c r="C10" i="8"/>
  <c r="C19" i="8"/>
  <c r="C6" i="8"/>
  <c r="C8" i="8"/>
  <c r="C26" i="8"/>
  <c r="D27" i="8"/>
  <c r="D26" i="8"/>
  <c r="D29" i="8"/>
  <c r="D22" i="8"/>
  <c r="C25" i="8"/>
  <c r="G27" i="3"/>
  <c r="F27" i="3"/>
  <c r="E27" i="3"/>
  <c r="D27" i="3"/>
  <c r="B211" i="1"/>
  <c r="C9" i="3"/>
  <c r="F45" i="1"/>
  <c r="F10" i="1"/>
  <c r="F34" i="1"/>
  <c r="F18" i="1"/>
  <c r="F86" i="1"/>
  <c r="F124" i="1"/>
  <c r="F32" i="1"/>
  <c r="F188" i="1"/>
  <c r="F179" i="1"/>
  <c r="C7" i="3"/>
  <c r="F83" i="1"/>
  <c r="F143" i="1"/>
  <c r="F127" i="1"/>
  <c r="F154" i="1"/>
  <c r="F126" i="1"/>
  <c r="F196" i="1"/>
  <c r="F194" i="1"/>
  <c r="F172" i="1"/>
  <c r="F160" i="1"/>
  <c r="F200" i="1"/>
  <c r="F41" i="1"/>
  <c r="F57" i="1"/>
  <c r="F133" i="1"/>
  <c r="F54" i="1"/>
  <c r="F112" i="1"/>
  <c r="F177" i="1"/>
  <c r="F78" i="1"/>
  <c r="B14" i="3"/>
  <c r="C14" i="3" s="1"/>
  <c r="F189" i="1"/>
  <c r="F33" i="1"/>
  <c r="F46" i="1"/>
  <c r="F95" i="1"/>
  <c r="F62" i="1"/>
  <c r="F198" i="1"/>
  <c r="F193" i="1"/>
  <c r="F56" i="1"/>
  <c r="F169" i="1"/>
  <c r="B17" i="3"/>
  <c r="F100" i="1"/>
  <c r="F14" i="1"/>
  <c r="C10" i="3"/>
  <c r="F26" i="1"/>
  <c r="F185" i="1"/>
  <c r="B15" i="3"/>
  <c r="F15" i="3" s="1"/>
  <c r="F104" i="1"/>
  <c r="F9" i="1"/>
  <c r="F118" i="1"/>
  <c r="F61" i="1"/>
  <c r="F53" i="1"/>
  <c r="F171" i="1"/>
  <c r="F178" i="1"/>
  <c r="F17" i="3"/>
  <c r="F92" i="1"/>
  <c r="F16" i="1"/>
  <c r="G14" i="3"/>
  <c r="F187" i="1"/>
  <c r="F197" i="1"/>
  <c r="F44" i="1"/>
  <c r="F168" i="1"/>
  <c r="F184" i="1"/>
  <c r="F190" i="1"/>
  <c r="F157" i="1"/>
  <c r="F192" i="1"/>
  <c r="F58" i="1"/>
  <c r="F23" i="1"/>
  <c r="F123" i="1"/>
  <c r="F13" i="1"/>
  <c r="F119" i="1"/>
  <c r="C5" i="3"/>
  <c r="F164" i="1"/>
  <c r="F49" i="1"/>
  <c r="H14" i="3"/>
  <c r="F131" i="1"/>
  <c r="F77" i="1"/>
  <c r="F98" i="1"/>
  <c r="F69" i="1"/>
  <c r="F24" i="1"/>
  <c r="F76" i="1"/>
  <c r="F135" i="1"/>
  <c r="B16" i="3"/>
  <c r="F114" i="1"/>
  <c r="F75" i="1"/>
  <c r="F116" i="1"/>
  <c r="F65" i="1"/>
  <c r="F29" i="1"/>
  <c r="F55" i="1"/>
  <c r="F99" i="1"/>
  <c r="F146" i="1"/>
  <c r="F137" i="1"/>
  <c r="F142" i="1"/>
  <c r="F80" i="1"/>
  <c r="F202" i="1"/>
  <c r="F74" i="1"/>
  <c r="F147" i="1"/>
  <c r="F150" i="1"/>
  <c r="F37" i="1"/>
  <c r="D17" i="3"/>
  <c r="F48" i="1"/>
  <c r="F20" i="1"/>
  <c r="F40" i="1"/>
  <c r="F91" i="1"/>
  <c r="F66" i="1"/>
  <c r="F122" i="1"/>
  <c r="F115" i="1"/>
  <c r="F81" i="1"/>
  <c r="F159" i="1"/>
  <c r="F136" i="1"/>
  <c r="F208" i="1"/>
  <c r="F21" i="1"/>
  <c r="F129" i="1"/>
  <c r="F85" i="1"/>
  <c r="F107" i="1"/>
  <c r="F38" i="1"/>
  <c r="F182" i="1"/>
  <c r="F174" i="1"/>
  <c r="F12" i="1"/>
  <c r="F108" i="1"/>
  <c r="F59" i="1"/>
  <c r="F67" i="1"/>
  <c r="F71" i="1"/>
  <c r="F151" i="1"/>
  <c r="F128" i="1"/>
  <c r="F27" i="1"/>
  <c r="E17" i="3"/>
  <c r="G16" i="3"/>
  <c r="F134" i="1"/>
  <c r="F205" i="1"/>
  <c r="F94" i="1"/>
  <c r="F186" i="1"/>
  <c r="F109" i="1"/>
  <c r="B22" i="3"/>
  <c r="F22" i="1"/>
  <c r="F102" i="1"/>
  <c r="F88" i="1"/>
  <c r="F161" i="1"/>
  <c r="D15" i="3"/>
  <c r="B19" i="3"/>
  <c r="F101" i="1"/>
  <c r="F14" i="3"/>
  <c r="F39" i="1"/>
  <c r="F25" i="1"/>
  <c r="F96" i="1"/>
  <c r="F15" i="1"/>
  <c r="H19" i="3"/>
  <c r="F163" i="1"/>
  <c r="F93" i="1"/>
  <c r="F148" i="1"/>
  <c r="E14" i="3"/>
  <c r="F195" i="1"/>
  <c r="F103" i="1"/>
  <c r="F144" i="1"/>
  <c r="F30" i="1"/>
  <c r="F149" i="1"/>
  <c r="F50" i="1"/>
  <c r="F206" i="1"/>
  <c r="F156" i="1"/>
  <c r="F97" i="1"/>
  <c r="F8" i="1"/>
  <c r="F63" i="1"/>
  <c r="F158" i="1"/>
  <c r="F105" i="1"/>
  <c r="G17" i="3"/>
  <c r="F16" i="3"/>
  <c r="C15" i="3"/>
  <c r="F125" i="1"/>
  <c r="F180" i="1"/>
  <c r="F139" i="1"/>
  <c r="F84" i="1"/>
  <c r="F153" i="1"/>
  <c r="F167" i="1"/>
  <c r="F90" i="1"/>
  <c r="F152" i="1"/>
  <c r="D16" i="3"/>
  <c r="F175" i="1"/>
  <c r="C19" i="3"/>
  <c r="F64" i="1"/>
  <c r="F201" i="1"/>
  <c r="F87" i="1"/>
  <c r="F110" i="1"/>
  <c r="C11" i="3"/>
  <c r="F73" i="1"/>
  <c r="F72" i="1"/>
  <c r="F140" i="1"/>
  <c r="F120" i="1"/>
  <c r="D19" i="3"/>
  <c r="F132" i="1"/>
  <c r="C16" i="3"/>
  <c r="F42" i="1"/>
  <c r="B18" i="3"/>
  <c r="F203" i="1"/>
  <c r="F130" i="1"/>
  <c r="D14" i="3"/>
  <c r="C8" i="3"/>
  <c r="F121" i="1"/>
  <c r="F181" i="1"/>
  <c r="F138" i="1"/>
  <c r="F191" i="1"/>
  <c r="F162" i="1"/>
  <c r="F207" i="1"/>
  <c r="F209" i="1"/>
  <c r="F106" i="1"/>
  <c r="C6" i="3"/>
  <c r="F173" i="1"/>
  <c r="F79" i="1"/>
  <c r="B23" i="3"/>
  <c r="F52" i="1"/>
  <c r="F36" i="1"/>
  <c r="F60" i="1"/>
  <c r="E19" i="3"/>
  <c r="F31" i="1"/>
  <c r="F141" i="1"/>
  <c r="F166" i="1"/>
  <c r="F68" i="1"/>
  <c r="D18" i="3"/>
  <c r="F7" i="1"/>
  <c r="F43" i="1"/>
  <c r="F170" i="1"/>
  <c r="F183" i="1"/>
  <c r="F111" i="1"/>
  <c r="F19" i="1"/>
  <c r="F17" i="1"/>
  <c r="F199" i="1"/>
  <c r="F113" i="1"/>
  <c r="F70" i="1"/>
  <c r="F117" i="1"/>
  <c r="D23" i="3"/>
  <c r="F47" i="1"/>
  <c r="F11" i="1"/>
  <c r="G19" i="3"/>
  <c r="F145" i="1"/>
  <c r="F176" i="1"/>
  <c r="F51" i="1"/>
  <c r="F155" i="1"/>
  <c r="F82" i="1"/>
  <c r="H15" i="3"/>
  <c r="F35" i="1"/>
  <c r="H16" i="3"/>
  <c r="F89" i="1"/>
  <c r="F165" i="1"/>
  <c r="F204" i="1"/>
  <c r="F28" i="1"/>
  <c r="C17" i="3"/>
  <c r="H17" i="3"/>
  <c r="D29" i="3"/>
  <c r="F19" i="3"/>
  <c r="G18" i="3"/>
  <c r="C18" i="3"/>
  <c r="F18" i="3"/>
  <c r="C23" i="3"/>
  <c r="E23" i="3"/>
  <c r="F23" i="3"/>
  <c r="F29" i="3"/>
  <c r="E29" i="3"/>
  <c r="G29" i="3" l="1"/>
  <c r="B212" i="1"/>
  <c r="F22" i="3"/>
  <c r="D28" i="3"/>
  <c r="H18" i="3"/>
  <c r="E16" i="3"/>
  <c r="E22" i="3"/>
  <c r="E15" i="3"/>
  <c r="E18" i="3"/>
  <c r="D26" i="3"/>
  <c r="G15" i="3"/>
  <c r="C22" i="3"/>
  <c r="F26" i="3"/>
  <c r="D22" i="3"/>
  <c r="E26" i="3"/>
  <c r="F28" i="3"/>
  <c r="E28" i="3"/>
  <c r="G28" i="3" l="1"/>
  <c r="B31" i="3"/>
  <c r="G26" i="3"/>
  <c r="E38" i="9"/>
  <c r="E8" i="19"/>
  <c r="E5" i="20"/>
  <c r="E30" i="9"/>
  <c r="E36" i="9"/>
  <c r="E9" i="9"/>
  <c r="E7" i="19"/>
  <c r="I23" i="3"/>
  <c r="E35" i="9"/>
  <c r="E7" i="20"/>
  <c r="E13" i="21"/>
  <c r="E18" i="8"/>
  <c r="E10" i="18"/>
  <c r="E6" i="21"/>
  <c r="E12" i="9"/>
  <c r="E13" i="19"/>
  <c r="E25" i="8"/>
  <c r="E7" i="8"/>
  <c r="E25" i="9"/>
  <c r="E11" i="19"/>
  <c r="E10" i="19"/>
  <c r="E8" i="8"/>
  <c r="E21" i="8"/>
  <c r="E34" i="9"/>
  <c r="E6" i="18"/>
  <c r="E12" i="8"/>
  <c r="E10" i="21"/>
  <c r="E12" i="19"/>
  <c r="E6" i="8"/>
  <c r="E14" i="18"/>
  <c r="E20" i="9"/>
  <c r="E13" i="20"/>
  <c r="E11" i="18"/>
  <c r="E14" i="9"/>
  <c r="E5" i="19"/>
  <c r="E28" i="9"/>
  <c r="E10" i="9"/>
  <c r="E9" i="19"/>
  <c r="E22" i="9"/>
  <c r="E11" i="21"/>
  <c r="E13" i="8"/>
  <c r="E11" i="20"/>
  <c r="E29" i="8"/>
  <c r="E8" i="20"/>
  <c r="E12" i="21"/>
  <c r="E27" i="9"/>
  <c r="E32" i="9"/>
  <c r="E10" i="20"/>
  <c r="E6" i="9"/>
  <c r="E16" i="9"/>
  <c r="E14" i="8"/>
  <c r="E17" i="21"/>
  <c r="E5" i="21"/>
  <c r="E8" i="21"/>
  <c r="E12" i="20"/>
  <c r="E23" i="9"/>
  <c r="E15" i="21"/>
  <c r="E8" i="9"/>
  <c r="E9" i="8"/>
  <c r="E24" i="9"/>
  <c r="E7" i="18"/>
  <c r="E26" i="9"/>
  <c r="E27" i="8"/>
  <c r="E6" i="20"/>
  <c r="E8" i="18"/>
  <c r="E26" i="8"/>
  <c r="E19" i="9"/>
  <c r="E21" i="9"/>
  <c r="E7" i="21"/>
  <c r="E11" i="9"/>
  <c r="E16" i="21"/>
  <c r="E5" i="8"/>
  <c r="E7" i="9"/>
  <c r="E5" i="18"/>
  <c r="E31" i="9"/>
  <c r="E20" i="8"/>
  <c r="E16" i="8"/>
  <c r="E17" i="9"/>
  <c r="E10" i="8"/>
  <c r="E18" i="9"/>
  <c r="E33" i="9"/>
  <c r="E11" i="8"/>
  <c r="E13" i="18"/>
  <c r="E9" i="20"/>
  <c r="E22" i="8"/>
  <c r="E24" i="8"/>
  <c r="E17" i="8"/>
  <c r="E29" i="9"/>
  <c r="E13" i="9"/>
  <c r="E14" i="21"/>
  <c r="E9" i="21"/>
  <c r="E12" i="18"/>
  <c r="E37" i="9"/>
  <c r="E9" i="18"/>
  <c r="E23" i="8"/>
  <c r="E19" i="8"/>
  <c r="E6" i="19"/>
  <c r="E15" i="8"/>
  <c r="E28" i="8"/>
  <c r="E5" i="9"/>
  <c r="E15" i="9"/>
  <c r="J23" i="3" l="1"/>
  <c r="F9" i="21"/>
  <c r="F6" i="19"/>
  <c r="F30" i="9"/>
  <c r="F17" i="21"/>
  <c r="F5" i="21"/>
  <c r="F23" i="9"/>
  <c r="F10" i="20"/>
  <c r="F13" i="18"/>
  <c r="F12" i="19"/>
  <c r="F27" i="9"/>
  <c r="F25" i="8"/>
  <c r="F11" i="20"/>
  <c r="F7" i="20"/>
  <c r="F10" i="19"/>
  <c r="F8" i="21"/>
  <c r="B31" i="8"/>
  <c r="F9" i="20"/>
  <c r="F20" i="8"/>
  <c r="F9" i="9"/>
  <c r="F14" i="21"/>
  <c r="F16" i="9"/>
  <c r="F12" i="18"/>
  <c r="F26" i="8"/>
  <c r="F12" i="8"/>
  <c r="F11" i="8"/>
  <c r="F5" i="9"/>
  <c r="F5" i="20"/>
  <c r="F24" i="9"/>
  <c r="F16" i="8"/>
  <c r="F31" i="9"/>
  <c r="F6" i="18"/>
  <c r="F15" i="21"/>
  <c r="F33" i="9"/>
  <c r="F29" i="9"/>
  <c r="F10" i="8"/>
  <c r="F36" i="9"/>
  <c r="F7" i="9"/>
  <c r="F11" i="18"/>
  <c r="F16" i="21"/>
  <c r="F24" i="8"/>
  <c r="F11" i="19"/>
  <c r="F18" i="9"/>
  <c r="F17" i="9"/>
  <c r="F5" i="19"/>
  <c r="F9" i="8"/>
  <c r="C31" i="8"/>
  <c r="F6" i="20"/>
  <c r="F8" i="8"/>
  <c r="F5" i="18"/>
  <c r="B40" i="9"/>
  <c r="F6" i="21"/>
  <c r="F23" i="8"/>
  <c r="F12" i="21"/>
  <c r="F7" i="18"/>
  <c r="F22" i="9"/>
  <c r="F28" i="8"/>
  <c r="D31" i="8"/>
  <c r="F14" i="9"/>
  <c r="F8" i="19"/>
  <c r="F15" i="8"/>
  <c r="F18" i="8"/>
  <c r="F13" i="8"/>
  <c r="F7" i="8"/>
  <c r="F8" i="9"/>
  <c r="B32" i="8"/>
  <c r="C58" i="8"/>
  <c r="E20" i="18"/>
  <c r="F19" i="9"/>
  <c r="E23" i="19"/>
  <c r="F6" i="8"/>
  <c r="F13" i="9"/>
  <c r="F32" i="9"/>
  <c r="F29" i="8"/>
  <c r="F14" i="8"/>
  <c r="C47" i="8"/>
  <c r="F7" i="19"/>
  <c r="F25" i="9"/>
  <c r="F19" i="8"/>
  <c r="F17" i="8"/>
  <c r="F13" i="21"/>
  <c r="F22" i="8"/>
  <c r="F12" i="20"/>
  <c r="F9" i="19"/>
  <c r="F28" i="9"/>
  <c r="F10" i="18"/>
  <c r="C52" i="8"/>
  <c r="F15" i="9"/>
  <c r="C50" i="8"/>
  <c r="F14" i="18"/>
  <c r="F35" i="9"/>
  <c r="E16" i="18"/>
  <c r="F27" i="8"/>
  <c r="F34" i="9"/>
  <c r="C53" i="8"/>
  <c r="F11" i="21"/>
  <c r="F10" i="9"/>
  <c r="F11" i="9"/>
  <c r="F13" i="19"/>
  <c r="F7" i="21"/>
  <c r="C51" i="8"/>
  <c r="C38" i="8"/>
  <c r="E19" i="19"/>
  <c r="F26" i="9"/>
  <c r="F8" i="18"/>
  <c r="F12" i="9"/>
  <c r="F37" i="9"/>
  <c r="F38" i="9"/>
  <c r="F9" i="18"/>
  <c r="C54" i="8"/>
  <c r="C40" i="8"/>
  <c r="E19" i="18"/>
  <c r="F21" i="9"/>
  <c r="F8" i="20"/>
  <c r="F10" i="21"/>
  <c r="F13" i="20"/>
  <c r="F21" i="8"/>
  <c r="C56" i="8"/>
  <c r="E21" i="19"/>
  <c r="E20" i="19"/>
  <c r="F20" i="9"/>
  <c r="C36" i="8"/>
  <c r="F6" i="9"/>
  <c r="F5" i="8"/>
  <c r="C49" i="8"/>
  <c r="C43" i="8"/>
  <c r="D40" i="9"/>
  <c r="B41" i="9" s="1"/>
  <c r="C77" i="9"/>
  <c r="C72" i="9"/>
  <c r="C71" i="9"/>
  <c r="C56" i="9"/>
  <c r="C40" i="9"/>
  <c r="C74" i="9"/>
  <c r="C55" i="9"/>
  <c r="C51" i="9"/>
  <c r="C57" i="9"/>
  <c r="E15" i="19"/>
  <c r="F15" i="19" s="1"/>
  <c r="E18" i="18"/>
  <c r="E23" i="18"/>
  <c r="E24" i="18"/>
  <c r="E18" i="19"/>
  <c r="E26" i="18"/>
  <c r="C46" i="8"/>
  <c r="C44" i="8"/>
  <c r="E25" i="18"/>
  <c r="E26" i="19"/>
  <c r="E28" i="19"/>
  <c r="C37" i="8"/>
  <c r="E21" i="18"/>
  <c r="E28" i="18"/>
  <c r="C48" i="8"/>
  <c r="C41" i="8"/>
  <c r="E14" i="19"/>
  <c r="C35" i="8"/>
  <c r="E25" i="19"/>
  <c r="C45" i="8"/>
  <c r="E29" i="18"/>
  <c r="E30" i="18"/>
  <c r="C59" i="8"/>
  <c r="C55" i="8"/>
  <c r="C42" i="8"/>
  <c r="E17" i="19"/>
  <c r="E24" i="19"/>
  <c r="C32" i="8"/>
  <c r="E15" i="18"/>
  <c r="F15" i="18" s="1"/>
  <c r="C57" i="8"/>
  <c r="E16" i="19"/>
  <c r="E27" i="19"/>
  <c r="C39" i="8"/>
  <c r="E22" i="19"/>
  <c r="E17" i="18"/>
  <c r="E27" i="18"/>
  <c r="E22" i="18"/>
  <c r="C68" i="9"/>
  <c r="C66" i="9"/>
  <c r="C46" i="9"/>
  <c r="C45" i="9"/>
  <c r="C69" i="9"/>
  <c r="C65" i="9"/>
  <c r="C52" i="9"/>
  <c r="C44" i="9"/>
  <c r="C53" i="9"/>
  <c r="E28" i="20"/>
  <c r="C48" i="9"/>
  <c r="C64" i="9"/>
  <c r="E14" i="20"/>
  <c r="E17" i="20"/>
  <c r="C75" i="9"/>
  <c r="C63" i="9"/>
  <c r="C60" i="9"/>
  <c r="C62" i="9"/>
  <c r="E27" i="20"/>
  <c r="E26" i="20"/>
  <c r="C50" i="9"/>
  <c r="C59" i="9"/>
  <c r="C49" i="9"/>
  <c r="C70" i="9"/>
  <c r="C76" i="9"/>
  <c r="E21" i="20"/>
  <c r="E22" i="20"/>
  <c r="C73" i="9"/>
  <c r="E18" i="20"/>
  <c r="C54" i="9"/>
  <c r="E16" i="20"/>
  <c r="C58" i="9"/>
  <c r="C61" i="9"/>
  <c r="C47" i="9"/>
  <c r="C67" i="9"/>
  <c r="E15" i="20"/>
  <c r="E19" i="20"/>
  <c r="E20" i="20"/>
  <c r="E24" i="20"/>
  <c r="C41" i="9"/>
  <c r="E25" i="20"/>
  <c r="E29" i="20"/>
  <c r="E23" i="20"/>
  <c r="B31" i="20"/>
  <c r="F14" i="20"/>
  <c r="C31" i="20"/>
  <c r="D31" i="20"/>
  <c r="D74" i="9" l="1"/>
  <c r="E74" i="9" s="1"/>
  <c r="D51" i="9"/>
  <c r="E51" i="9" s="1"/>
  <c r="D46" i="9"/>
  <c r="E46" i="9" s="1"/>
  <c r="D52" i="9"/>
  <c r="E52" i="9" s="1"/>
  <c r="D44" i="9"/>
  <c r="D53" i="9"/>
  <c r="E53" i="9" s="1"/>
  <c r="D48" i="9"/>
  <c r="E48" i="9" s="1"/>
  <c r="D72" i="9"/>
  <c r="E72" i="9" s="1"/>
  <c r="D63" i="9"/>
  <c r="E63" i="9" s="1"/>
  <c r="D50" i="9"/>
  <c r="E50" i="9" s="1"/>
  <c r="D73" i="9"/>
  <c r="E73" i="9" s="1"/>
  <c r="D49" i="9"/>
  <c r="E49" i="9" s="1"/>
  <c r="D58" i="9"/>
  <c r="E58" i="9" s="1"/>
  <c r="D69" i="9"/>
  <c r="E69" i="9" s="1"/>
  <c r="D45" i="9"/>
  <c r="E45" i="9" s="1"/>
  <c r="D68" i="9"/>
  <c r="E68" i="9" s="1"/>
  <c r="D56" i="9"/>
  <c r="E56" i="9" s="1"/>
  <c r="D55" i="9"/>
  <c r="E55" i="9" s="1"/>
  <c r="D57" i="9"/>
  <c r="E57" i="9" s="1"/>
  <c r="D70" i="9"/>
  <c r="E70" i="9" s="1"/>
  <c r="D77" i="9"/>
  <c r="E77" i="9" s="1"/>
  <c r="D62" i="9"/>
  <c r="E62" i="9" s="1"/>
  <c r="D76" i="9"/>
  <c r="E76" i="9" s="1"/>
  <c r="D64" i="9"/>
  <c r="E64" i="9" s="1"/>
  <c r="D75" i="9"/>
  <c r="E75" i="9" s="1"/>
  <c r="D66" i="9"/>
  <c r="E66" i="9" s="1"/>
  <c r="D60" i="9"/>
  <c r="E60" i="9" s="1"/>
  <c r="D71" i="9"/>
  <c r="E71" i="9" s="1"/>
  <c r="D65" i="9"/>
  <c r="E65" i="9" s="1"/>
  <c r="D47" i="9"/>
  <c r="E47" i="9" s="1"/>
  <c r="D59" i="9"/>
  <c r="E59" i="9" s="1"/>
  <c r="D54" i="9"/>
  <c r="E54" i="9" s="1"/>
  <c r="D61" i="9"/>
  <c r="E61" i="9" s="1"/>
  <c r="D67" i="9"/>
  <c r="E67" i="9" s="1"/>
  <c r="D53" i="8"/>
  <c r="E53" i="8" s="1"/>
  <c r="D48" i="8"/>
  <c r="E48" i="8" s="1"/>
  <c r="D40" i="8"/>
  <c r="E40" i="8" s="1"/>
  <c r="D38" i="8"/>
  <c r="E38" i="8" s="1"/>
  <c r="D47" i="8"/>
  <c r="E47" i="8" s="1"/>
  <c r="D52" i="8"/>
  <c r="E52" i="8" s="1"/>
  <c r="D46" i="8"/>
  <c r="E46" i="8" s="1"/>
  <c r="D58" i="8"/>
  <c r="E58" i="8" s="1"/>
  <c r="D37" i="8"/>
  <c r="E37" i="8" s="1"/>
  <c r="D59" i="8"/>
  <c r="E59" i="8" s="1"/>
  <c r="D57" i="8"/>
  <c r="E57" i="8" s="1"/>
  <c r="D39" i="8"/>
  <c r="E39" i="8" s="1"/>
  <c r="D49" i="8"/>
  <c r="E49" i="8" s="1"/>
  <c r="D43" i="8"/>
  <c r="E43" i="8" s="1"/>
  <c r="D55" i="8"/>
  <c r="E55" i="8" s="1"/>
  <c r="D42" i="8"/>
  <c r="E42" i="8" s="1"/>
  <c r="D36" i="8"/>
  <c r="E36" i="8" s="1"/>
  <c r="D56" i="8"/>
  <c r="E56" i="8" s="1"/>
  <c r="D54" i="8"/>
  <c r="E54" i="8" s="1"/>
  <c r="D41" i="8"/>
  <c r="E41" i="8" s="1"/>
  <c r="D51" i="8"/>
  <c r="E51" i="8" s="1"/>
  <c r="D50" i="8"/>
  <c r="E50" i="8" s="1"/>
  <c r="D35" i="8"/>
  <c r="D45" i="8"/>
  <c r="E45" i="8" s="1"/>
  <c r="D44" i="8"/>
  <c r="E44" i="8" s="1"/>
  <c r="B32" i="20"/>
  <c r="F27" i="19"/>
  <c r="F19" i="18"/>
  <c r="F16" i="19"/>
  <c r="F19" i="19"/>
  <c r="F29" i="20"/>
  <c r="F24" i="19"/>
  <c r="F25" i="20"/>
  <c r="F24" i="20"/>
  <c r="F21" i="20"/>
  <c r="F26" i="20"/>
  <c r="F23" i="20"/>
  <c r="F16" i="20"/>
  <c r="F27" i="20"/>
  <c r="F26" i="18"/>
  <c r="F30" i="18"/>
  <c r="F25" i="19"/>
  <c r="F17" i="20"/>
  <c r="F18" i="19"/>
  <c r="F17" i="18"/>
  <c r="F21" i="19"/>
  <c r="F16" i="18"/>
  <c r="F17" i="19"/>
  <c r="F19" i="20"/>
  <c r="F28" i="18"/>
  <c r="F26" i="19"/>
  <c r="F28" i="20"/>
  <c r="F24" i="18"/>
  <c r="F20" i="19"/>
  <c r="F22" i="19"/>
  <c r="F20" i="18"/>
  <c r="F20" i="20"/>
  <c r="F18" i="20"/>
  <c r="B32" i="18"/>
  <c r="F22" i="18"/>
  <c r="F23" i="18"/>
  <c r="F23" i="19"/>
  <c r="F29" i="18"/>
  <c r="F15" i="20"/>
  <c r="F21" i="18"/>
  <c r="F28" i="19"/>
  <c r="F27" i="18"/>
  <c r="F18" i="18"/>
  <c r="B30" i="19"/>
  <c r="F14" i="19"/>
  <c r="F22" i="20"/>
  <c r="F25" i="18"/>
  <c r="C57" i="20"/>
  <c r="C47" i="20"/>
  <c r="C45" i="20"/>
  <c r="C40" i="20"/>
  <c r="C46" i="20"/>
  <c r="C42" i="20"/>
  <c r="C38" i="20"/>
  <c r="C50" i="20"/>
  <c r="C41" i="20"/>
  <c r="C51" i="20"/>
  <c r="C56" i="20"/>
  <c r="C53" i="20"/>
  <c r="C35" i="20"/>
  <c r="C54" i="20"/>
  <c r="C44" i="20"/>
  <c r="C43" i="20"/>
  <c r="C52" i="20"/>
  <c r="C58" i="20"/>
  <c r="C55" i="20"/>
  <c r="C49" i="20"/>
  <c r="C36" i="20"/>
  <c r="C48" i="20"/>
  <c r="C59" i="20"/>
  <c r="C39" i="20"/>
  <c r="C37" i="20"/>
  <c r="E18" i="21"/>
  <c r="E29" i="21"/>
  <c r="F29" i="21" s="1"/>
  <c r="E26" i="21"/>
  <c r="F26" i="21" s="1"/>
  <c r="E28" i="21"/>
  <c r="F28" i="21" s="1"/>
  <c r="E20" i="21"/>
  <c r="F20" i="21" s="1"/>
  <c r="E23" i="21"/>
  <c r="F23" i="21" s="1"/>
  <c r="C32" i="20"/>
  <c r="E30" i="21"/>
  <c r="F30" i="21" s="1"/>
  <c r="E22" i="21"/>
  <c r="F22" i="21" s="1"/>
  <c r="E19" i="21"/>
  <c r="F19" i="21" s="1"/>
  <c r="E27" i="21"/>
  <c r="F27" i="21" s="1"/>
  <c r="E25" i="21"/>
  <c r="F25" i="21" s="1"/>
  <c r="E24" i="21"/>
  <c r="F24" i="21" s="1"/>
  <c r="E21" i="21"/>
  <c r="F21" i="21" s="1"/>
  <c r="E31" i="21"/>
  <c r="F31" i="21" s="1"/>
  <c r="C32" i="18"/>
  <c r="D32" i="18"/>
  <c r="D30" i="19"/>
  <c r="C30" i="19"/>
  <c r="F18" i="21"/>
  <c r="B33" i="21"/>
  <c r="C33" i="21"/>
  <c r="D33" i="21"/>
  <c r="D37" i="20" l="1"/>
  <c r="E37" i="20" s="1"/>
  <c r="D39" i="20"/>
  <c r="E39" i="20" s="1"/>
  <c r="D59" i="20"/>
  <c r="E59" i="20" s="1"/>
  <c r="D48" i="20"/>
  <c r="E48" i="20" s="1"/>
  <c r="D36" i="20"/>
  <c r="E36" i="20" s="1"/>
  <c r="D49" i="20"/>
  <c r="E49" i="20" s="1"/>
  <c r="D55" i="20"/>
  <c r="E55" i="20" s="1"/>
  <c r="D58" i="20"/>
  <c r="E58" i="20" s="1"/>
  <c r="D52" i="20"/>
  <c r="E52" i="20" s="1"/>
  <c r="D43" i="20"/>
  <c r="E43" i="20" s="1"/>
  <c r="D44" i="20"/>
  <c r="E44" i="20" s="1"/>
  <c r="D54" i="20"/>
  <c r="E54" i="20" s="1"/>
  <c r="D35" i="20"/>
  <c r="D53" i="20"/>
  <c r="E53" i="20" s="1"/>
  <c r="D56" i="20"/>
  <c r="E56" i="20" s="1"/>
  <c r="D51" i="20"/>
  <c r="E51" i="20" s="1"/>
  <c r="D41" i="20"/>
  <c r="E41" i="20" s="1"/>
  <c r="D50" i="20"/>
  <c r="E50" i="20" s="1"/>
  <c r="D38" i="20"/>
  <c r="E38" i="20" s="1"/>
  <c r="D42" i="20"/>
  <c r="E42" i="20" s="1"/>
  <c r="D46" i="20"/>
  <c r="E46" i="20" s="1"/>
  <c r="D40" i="20"/>
  <c r="E40" i="20" s="1"/>
  <c r="D45" i="20"/>
  <c r="E45" i="20" s="1"/>
  <c r="D47" i="20"/>
  <c r="E47" i="20" s="1"/>
  <c r="D57" i="20"/>
  <c r="E57" i="20" s="1"/>
  <c r="D61" i="8"/>
  <c r="E35" i="8"/>
  <c r="E35" i="20"/>
  <c r="D79" i="9"/>
  <c r="E44" i="9"/>
  <c r="B34" i="21"/>
  <c r="B33" i="18"/>
  <c r="B31" i="19"/>
  <c r="C38" i="21"/>
  <c r="C40" i="21"/>
  <c r="C48" i="21"/>
  <c r="C47" i="21"/>
  <c r="C58" i="21"/>
  <c r="C54" i="21"/>
  <c r="C61" i="21"/>
  <c r="C56" i="21"/>
  <c r="C39" i="21"/>
  <c r="C57" i="21"/>
  <c r="C55" i="21"/>
  <c r="C37" i="21"/>
  <c r="C62" i="21"/>
  <c r="C45" i="21"/>
  <c r="C43" i="21"/>
  <c r="C50" i="21"/>
  <c r="C44" i="21"/>
  <c r="C49" i="21"/>
  <c r="C51" i="21"/>
  <c r="C63" i="21"/>
  <c r="C52" i="21"/>
  <c r="C59" i="21"/>
  <c r="C60" i="21"/>
  <c r="C42" i="21"/>
  <c r="C53" i="21"/>
  <c r="C46" i="21"/>
  <c r="C41" i="21"/>
  <c r="C34" i="21"/>
  <c r="C43" i="18"/>
  <c r="C56" i="18"/>
  <c r="C49" i="18"/>
  <c r="C41" i="18"/>
  <c r="C45" i="18"/>
  <c r="C46" i="18"/>
  <c r="C60" i="18"/>
  <c r="C50" i="18"/>
  <c r="C54" i="18"/>
  <c r="C36" i="18"/>
  <c r="C42" i="18"/>
  <c r="C38" i="18"/>
  <c r="C52" i="18"/>
  <c r="C61" i="18"/>
  <c r="C48" i="18"/>
  <c r="C47" i="18"/>
  <c r="C51" i="18"/>
  <c r="C58" i="18"/>
  <c r="C57" i="18"/>
  <c r="C39" i="18"/>
  <c r="C40" i="18"/>
  <c r="C55" i="18"/>
  <c r="C37" i="18"/>
  <c r="C59" i="18"/>
  <c r="C44" i="18"/>
  <c r="C53" i="18"/>
  <c r="C33" i="18"/>
  <c r="C50" i="19"/>
  <c r="C47" i="19"/>
  <c r="C45" i="19"/>
  <c r="C54" i="19"/>
  <c r="C46" i="19"/>
  <c r="C49" i="19"/>
  <c r="C41" i="19"/>
  <c r="C43" i="19"/>
  <c r="C37" i="19"/>
  <c r="C40" i="19"/>
  <c r="C56" i="19"/>
  <c r="C55" i="19"/>
  <c r="C34" i="19"/>
  <c r="C57" i="19"/>
  <c r="C42" i="19"/>
  <c r="C48" i="19"/>
  <c r="C51" i="19"/>
  <c r="C52" i="19"/>
  <c r="C44" i="19"/>
  <c r="C35" i="19"/>
  <c r="C38" i="19"/>
  <c r="C53" i="19"/>
  <c r="C36" i="19"/>
  <c r="C39" i="19"/>
  <c r="C31" i="19"/>
  <c r="D39" i="19" l="1"/>
  <c r="E39" i="19" s="1"/>
  <c r="D36" i="19"/>
  <c r="E36" i="19" s="1"/>
  <c r="D53" i="19"/>
  <c r="E53" i="19" s="1"/>
  <c r="D38" i="19"/>
  <c r="E38" i="19" s="1"/>
  <c r="D35" i="19"/>
  <c r="E35" i="19" s="1"/>
  <c r="D44" i="19"/>
  <c r="E44" i="19" s="1"/>
  <c r="D52" i="19"/>
  <c r="E52" i="19" s="1"/>
  <c r="D51" i="19"/>
  <c r="E51" i="19" s="1"/>
  <c r="D48" i="19"/>
  <c r="E48" i="19" s="1"/>
  <c r="D42" i="19"/>
  <c r="E42" i="19" s="1"/>
  <c r="D57" i="19"/>
  <c r="E57" i="19" s="1"/>
  <c r="D34" i="19"/>
  <c r="E34" i="19" s="1"/>
  <c r="D55" i="19"/>
  <c r="E55" i="19" s="1"/>
  <c r="D56" i="19"/>
  <c r="E56" i="19" s="1"/>
  <c r="D40" i="19"/>
  <c r="E40" i="19" s="1"/>
  <c r="D37" i="19"/>
  <c r="E37" i="19" s="1"/>
  <c r="D43" i="19"/>
  <c r="E43" i="19" s="1"/>
  <c r="D41" i="19"/>
  <c r="E41" i="19" s="1"/>
  <c r="D49" i="19"/>
  <c r="E49" i="19" s="1"/>
  <c r="D46" i="19"/>
  <c r="E46" i="19" s="1"/>
  <c r="D54" i="19"/>
  <c r="E54" i="19" s="1"/>
  <c r="D45" i="19"/>
  <c r="E45" i="19" s="1"/>
  <c r="D47" i="19"/>
  <c r="E47" i="19" s="1"/>
  <c r="D50" i="19"/>
  <c r="E50" i="19" s="1"/>
  <c r="D53" i="18"/>
  <c r="E53" i="18" s="1"/>
  <c r="D44" i="18"/>
  <c r="E44" i="18" s="1"/>
  <c r="D59" i="18"/>
  <c r="E59" i="18" s="1"/>
  <c r="D37" i="18"/>
  <c r="E37" i="18" s="1"/>
  <c r="D55" i="18"/>
  <c r="E55" i="18" s="1"/>
  <c r="D40" i="18"/>
  <c r="E40" i="18" s="1"/>
  <c r="D39" i="18"/>
  <c r="E39" i="18" s="1"/>
  <c r="D57" i="18"/>
  <c r="E57" i="18" s="1"/>
  <c r="D58" i="18"/>
  <c r="E58" i="18" s="1"/>
  <c r="D51" i="18"/>
  <c r="E51" i="18" s="1"/>
  <c r="D47" i="18"/>
  <c r="E47" i="18" s="1"/>
  <c r="D48" i="18"/>
  <c r="E48" i="18" s="1"/>
  <c r="D61" i="18"/>
  <c r="E61" i="18" s="1"/>
  <c r="D52" i="18"/>
  <c r="E52" i="18" s="1"/>
  <c r="D38" i="18"/>
  <c r="E38" i="18" s="1"/>
  <c r="D42" i="18"/>
  <c r="E42" i="18" s="1"/>
  <c r="D36" i="18"/>
  <c r="D54" i="18"/>
  <c r="E54" i="18" s="1"/>
  <c r="D50" i="18"/>
  <c r="E50" i="18" s="1"/>
  <c r="D60" i="18"/>
  <c r="E60" i="18" s="1"/>
  <c r="D46" i="18"/>
  <c r="E46" i="18" s="1"/>
  <c r="D45" i="18"/>
  <c r="E45" i="18" s="1"/>
  <c r="D41" i="18"/>
  <c r="E41" i="18" s="1"/>
  <c r="D49" i="18"/>
  <c r="E49" i="18" s="1"/>
  <c r="D56" i="18"/>
  <c r="E56" i="18" s="1"/>
  <c r="D43" i="18"/>
  <c r="E43" i="18" s="1"/>
  <c r="D41" i="21"/>
  <c r="E41" i="21" s="1"/>
  <c r="D46" i="21"/>
  <c r="E46" i="21" s="1"/>
  <c r="D53" i="21"/>
  <c r="E53" i="21" s="1"/>
  <c r="D42" i="21"/>
  <c r="E42" i="21" s="1"/>
  <c r="D60" i="21"/>
  <c r="E60" i="21" s="1"/>
  <c r="D59" i="21"/>
  <c r="E59" i="21" s="1"/>
  <c r="D52" i="21"/>
  <c r="E52" i="21" s="1"/>
  <c r="D63" i="21"/>
  <c r="E63" i="21" s="1"/>
  <c r="D51" i="21"/>
  <c r="E51" i="21" s="1"/>
  <c r="D49" i="21"/>
  <c r="E49" i="21" s="1"/>
  <c r="D44" i="21"/>
  <c r="E44" i="21" s="1"/>
  <c r="D50" i="21"/>
  <c r="E50" i="21" s="1"/>
  <c r="D43" i="21"/>
  <c r="E43" i="21" s="1"/>
  <c r="D45" i="21"/>
  <c r="E45" i="21" s="1"/>
  <c r="D62" i="21"/>
  <c r="E62" i="21" s="1"/>
  <c r="D37" i="21"/>
  <c r="D55" i="21"/>
  <c r="E55" i="21" s="1"/>
  <c r="D57" i="21"/>
  <c r="E57" i="21" s="1"/>
  <c r="D39" i="21"/>
  <c r="E39" i="21" s="1"/>
  <c r="D56" i="21"/>
  <c r="E56" i="21" s="1"/>
  <c r="D61" i="21"/>
  <c r="E61" i="21" s="1"/>
  <c r="D54" i="21"/>
  <c r="E54" i="21" s="1"/>
  <c r="D58" i="21"/>
  <c r="E58" i="21" s="1"/>
  <c r="D47" i="21"/>
  <c r="E47" i="21" s="1"/>
  <c r="D48" i="21"/>
  <c r="E48" i="21" s="1"/>
  <c r="D40" i="21"/>
  <c r="E40" i="21" s="1"/>
  <c r="D38" i="21"/>
  <c r="E38" i="21" s="1"/>
  <c r="B3" i="23"/>
  <c r="D61" i="20"/>
  <c r="E36" i="18"/>
  <c r="E21" i="23"/>
  <c r="F21" i="23" s="1"/>
  <c r="E15" i="23"/>
  <c r="F15" i="23" s="1"/>
  <c r="E22" i="23"/>
  <c r="E18" i="23"/>
  <c r="F18" i="23" s="1"/>
  <c r="E20" i="23"/>
  <c r="F20" i="23" s="1"/>
  <c r="E35" i="23"/>
  <c r="F35" i="23" s="1"/>
  <c r="E29" i="23"/>
  <c r="F29" i="23" s="1"/>
  <c r="E7" i="23"/>
  <c r="F7" i="23" s="1"/>
  <c r="E32" i="23"/>
  <c r="F32" i="23" s="1"/>
  <c r="E31" i="23"/>
  <c r="F31" i="23" s="1"/>
  <c r="E12" i="23"/>
  <c r="F12" i="23" s="1"/>
  <c r="E8" i="23"/>
  <c r="F8" i="23" s="1"/>
  <c r="E11" i="23"/>
  <c r="F11" i="23" s="1"/>
  <c r="E17" i="23"/>
  <c r="F17" i="23" s="1"/>
  <c r="E10" i="23"/>
  <c r="F10" i="23" s="1"/>
  <c r="E24" i="23"/>
  <c r="F24" i="23" s="1"/>
  <c r="E13" i="23"/>
  <c r="F13" i="23" s="1"/>
  <c r="E26" i="23"/>
  <c r="F26" i="23" s="1"/>
  <c r="E25" i="23"/>
  <c r="F25" i="23" s="1"/>
  <c r="E23" i="23"/>
  <c r="F23" i="23" s="1"/>
  <c r="E36" i="23"/>
  <c r="F36" i="23" s="1"/>
  <c r="E27" i="23"/>
  <c r="F27" i="23" s="1"/>
  <c r="E6" i="23"/>
  <c r="F6" i="23" s="1"/>
  <c r="E16" i="23"/>
  <c r="F16" i="23" s="1"/>
  <c r="E34" i="23"/>
  <c r="F34" i="23" s="1"/>
  <c r="E19" i="23"/>
  <c r="F19" i="23" s="1"/>
  <c r="E30" i="23"/>
  <c r="F30" i="23" s="1"/>
  <c r="E5" i="23"/>
  <c r="F5" i="23" s="1"/>
  <c r="E33" i="23"/>
  <c r="F33" i="23" s="1"/>
  <c r="E14" i="23"/>
  <c r="F14" i="23" s="1"/>
  <c r="E9" i="23"/>
  <c r="F9" i="23" s="1"/>
  <c r="E28" i="23"/>
  <c r="F28" i="23" s="1"/>
  <c r="F22" i="23"/>
  <c r="D65" i="21" l="1"/>
  <c r="E37" i="21"/>
  <c r="D59" i="19"/>
  <c r="D63" i="18"/>
  <c r="B38" i="23"/>
  <c r="D38" i="23"/>
  <c r="B39" i="23"/>
  <c r="C47" i="23"/>
  <c r="D47" i="23"/>
  <c r="E47" i="23"/>
  <c r="C73" i="23"/>
  <c r="D73" i="23"/>
  <c r="E73" i="23"/>
  <c r="C61" i="23"/>
  <c r="D61" i="23"/>
  <c r="E61" i="23"/>
  <c r="C70" i="23"/>
  <c r="D70" i="23"/>
  <c r="E70" i="23"/>
  <c r="C57" i="23"/>
  <c r="D57" i="23"/>
  <c r="E57" i="23"/>
  <c r="C67" i="23"/>
  <c r="D67" i="23"/>
  <c r="E67" i="23"/>
  <c r="C58" i="23"/>
  <c r="D58" i="23"/>
  <c r="E58" i="23"/>
  <c r="C54" i="23"/>
  <c r="D54" i="23"/>
  <c r="E54" i="23"/>
  <c r="C48" i="23"/>
  <c r="D48" i="23"/>
  <c r="E48" i="23"/>
  <c r="C43" i="23"/>
  <c r="D43" i="23"/>
  <c r="E43" i="23"/>
  <c r="C52" i="23"/>
  <c r="D52" i="23"/>
  <c r="E52" i="23"/>
  <c r="C56" i="23"/>
  <c r="D56" i="23"/>
  <c r="E56" i="23"/>
  <c r="C66" i="23"/>
  <c r="D66" i="23"/>
  <c r="E66" i="23"/>
  <c r="C53" i="23"/>
  <c r="D53" i="23"/>
  <c r="E53" i="23"/>
  <c r="C44" i="23"/>
  <c r="D44" i="23"/>
  <c r="E44" i="23"/>
  <c r="C60" i="23"/>
  <c r="D60" i="23"/>
  <c r="E60" i="23"/>
  <c r="C46" i="23"/>
  <c r="D46" i="23"/>
  <c r="E46" i="23"/>
  <c r="C72" i="23"/>
  <c r="D72" i="23"/>
  <c r="E72" i="23"/>
  <c r="C50" i="23"/>
  <c r="D50" i="23"/>
  <c r="E50" i="23"/>
  <c r="C38" i="23"/>
  <c r="C64" i="23"/>
  <c r="D64" i="23"/>
  <c r="E64" i="23"/>
  <c r="C71" i="23"/>
  <c r="D71" i="23"/>
  <c r="E71" i="23"/>
  <c r="C42" i="23"/>
  <c r="D42" i="23"/>
  <c r="C45" i="23"/>
  <c r="D45" i="23"/>
  <c r="C49" i="23"/>
  <c r="D49" i="23"/>
  <c r="C51" i="23"/>
  <c r="D51" i="23"/>
  <c r="C55" i="23"/>
  <c r="D55" i="23"/>
  <c r="C59" i="23"/>
  <c r="D59" i="23"/>
  <c r="C62" i="23"/>
  <c r="D62" i="23"/>
  <c r="C63" i="23"/>
  <c r="D63" i="23"/>
  <c r="C65" i="23"/>
  <c r="D65" i="23"/>
  <c r="C68" i="23"/>
  <c r="D68" i="23"/>
  <c r="C69" i="23"/>
  <c r="D69" i="23"/>
  <c r="D75" i="23"/>
  <c r="E42" i="23"/>
  <c r="E63" i="23"/>
  <c r="E69" i="23"/>
  <c r="E62" i="23"/>
  <c r="E68" i="23"/>
  <c r="E65" i="23"/>
  <c r="E55" i="23"/>
  <c r="E51" i="23"/>
  <c r="E45" i="23"/>
  <c r="E59" i="23"/>
  <c r="E49" i="23"/>
  <c r="C39" i="23"/>
  <c r="B3" i="25"/>
  <c r="B41" i="25"/>
  <c r="B42" i="25"/>
  <c r="C42" i="25"/>
  <c r="B5" i="25"/>
  <c r="C5" i="25"/>
  <c r="B8" i="25"/>
  <c r="D8" i="25"/>
  <c r="C8" i="25"/>
  <c r="B9" i="25"/>
  <c r="D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B37" i="25" a="1"/>
  <c r="B37" i="25"/>
  <c r="C37" i="25"/>
  <c r="B31" i="25" a="1"/>
  <c r="B31" i="25"/>
  <c r="B32" i="25" a="1"/>
  <c r="B32" i="25"/>
  <c r="B33" i="25" a="1"/>
  <c r="B34" i="25" a="1"/>
  <c r="B34" i="25"/>
  <c r="B35" i="25" a="1"/>
  <c r="B36" i="25" a="1"/>
  <c r="B33" i="25"/>
  <c r="B35" i="25"/>
  <c r="B36" i="25"/>
  <c r="B39" i="25" a="1"/>
  <c r="B39" i="25"/>
  <c r="B43" i="25"/>
  <c r="B44" i="25" a="1"/>
  <c r="B44" i="25"/>
  <c r="B45" i="25"/>
  <c r="A211" i="25" a="1"/>
  <c r="A211" i="25"/>
  <c r="C31" i="25"/>
  <c r="C39" i="25"/>
  <c r="B46" i="25"/>
  <c r="E46" i="25"/>
  <c r="B48" i="25"/>
  <c r="C48" i="25"/>
  <c r="B49" i="25"/>
  <c r="C49" i="25"/>
  <c r="B50" i="25"/>
  <c r="C50" i="25"/>
  <c r="B51" i="25"/>
  <c r="C51" i="25"/>
  <c r="B52" i="25"/>
  <c r="C52" i="25"/>
  <c r="B53" i="25"/>
  <c r="C53" i="25"/>
  <c r="A56" i="25" a="1"/>
  <c r="A56" i="25"/>
  <c r="C34" i="25"/>
  <c r="C35" i="25"/>
  <c r="A149" i="25" a="1"/>
  <c r="A149" i="25"/>
  <c r="C32" i="25"/>
  <c r="A87" i="25" a="1"/>
  <c r="A87" i="25"/>
  <c r="C33" i="25"/>
  <c r="A118" i="25" a="1"/>
  <c r="A118" i="25"/>
  <c r="C36" i="25"/>
  <c r="A180" i="25" a="1"/>
  <c r="A180" i="25"/>
  <c r="C44" i="2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<sst xmlns="http://schemas.openxmlformats.org/spreadsheetml/2006/main" count="1219" uniqueCount="331">
  <si>
    <t>Cross_Currency_Swap_rebalancing: market data and fixings (as of 2019-12-30)</t>
  </si>
  <si>
    <t>Quotes taken from Input\market.txt for every quote referenced by Input\curveconfig.xml; fixings from Input\fixings.txt.</t>
  </si>
  <si>
    <t>Evaluation date</t>
  </si>
  <si>
    <t>Curve</t>
  </si>
  <si>
    <t>Segment</t>
  </si>
  <si>
    <t>Market quote</t>
  </si>
  <si>
    <t>Value</t>
  </si>
  <si>
    <t>Quote object</t>
  </si>
  <si>
    <t>Error</t>
  </si>
  <si>
    <t>EUR-EONIA</t>
  </si>
  <si>
    <t>Deposit</t>
  </si>
  <si>
    <t>MM/RATE/EUR/0D/1D</t>
  </si>
  <si>
    <t>OIS</t>
  </si>
  <si>
    <t>IR_SWAP/RATE/EUR/2D/1D/1W</t>
  </si>
  <si>
    <t>IR_SWAP/RATE/EUR/2D/1D/2W</t>
  </si>
  <si>
    <t>IR_SWAP/RATE/EUR/2D/1D/3W</t>
  </si>
  <si>
    <t>IR_SWAP/RATE/EUR/2D/1D/1M</t>
  </si>
  <si>
    <t>IR_SWAP/RATE/EUR/2D/1D/2M</t>
  </si>
  <si>
    <t>IR_SWAP/RATE/EUR/2D/1D/3M</t>
  </si>
  <si>
    <t>IR_SWAP/RATE/EUR/2D/1D/4M</t>
  </si>
  <si>
    <t>IR_SWAP/RATE/EUR/2D/1D/5M</t>
  </si>
  <si>
    <t>IR_SWAP/RATE/EUR/2D/1D/6M</t>
  </si>
  <si>
    <t>IR_SWAP/RATE/EUR/2D/1D/7M</t>
  </si>
  <si>
    <t>IR_SWAP/RATE/EUR/2D/1D/8M</t>
  </si>
  <si>
    <t>IR_SWAP/RATE/EUR/2D/1D/9M</t>
  </si>
  <si>
    <t>IR_SWAP/RATE/EUR/2D/1D/10M</t>
  </si>
  <si>
    <t>IR_SWAP/RATE/EUR/2D/1D/11M</t>
  </si>
  <si>
    <t>IR_SWAP/RATE/EUR/2D/1D/1Y</t>
  </si>
  <si>
    <t>IR_SWAP/RATE/EUR/2D/1D/15M</t>
  </si>
  <si>
    <t>IR_SWAP/RATE/EUR/2D/1D/18M</t>
  </si>
  <si>
    <t>IR_SWAP/RATE/EUR/2D/1D/21M</t>
  </si>
  <si>
    <t>IR_SWAP/RATE/EUR/2D/1D/2Y</t>
  </si>
  <si>
    <t>IR_SWAP/RATE/EUR/2D/1D/3Y</t>
  </si>
  <si>
    <t>IR_SWAP/RATE/EUR/2D/1D/4Y</t>
  </si>
  <si>
    <t>IR_SWAP/RATE/EUR/2D/1D/5Y</t>
  </si>
  <si>
    <t>IR_SWAP/RATE/EUR/2D/1D/6Y</t>
  </si>
  <si>
    <t>IR_SWAP/RATE/EUR/2D/1D/7Y</t>
  </si>
  <si>
    <t>IR_SWAP/RATE/EUR/2D/1D/8Y</t>
  </si>
  <si>
    <t>IR_SWAP/RATE/EUR/2D/1D/9Y</t>
  </si>
  <si>
    <t>IR_SWAP/RATE/EUR/2D/1D/10Y</t>
  </si>
  <si>
    <t>IR_SWAP/RATE/EUR/2D/1D/11Y</t>
  </si>
  <si>
    <t>IR_SWAP/RATE/EUR/2D/1D/12Y</t>
  </si>
  <si>
    <t>IR_SWAP/RATE/EUR/2D/1D/15Y</t>
  </si>
  <si>
    <t>IR_SWAP/RATE/EUR/2D/1D/20Y</t>
  </si>
  <si>
    <t>IR_SWAP/RATE/EUR/2D/1D/25Y</t>
  </si>
  <si>
    <t>IR_SWAP/RATE/EUR/2D/1D/30Y</t>
  </si>
  <si>
    <t>EUR-EURIBOR-3M</t>
  </si>
  <si>
    <t>MM/RATE/EUR/2D/3M</t>
  </si>
  <si>
    <t>FRA</t>
  </si>
  <si>
    <t>FRA/RATE/EUR/1M/3M</t>
  </si>
  <si>
    <t>FRA/RATE/EUR/2M/3M</t>
  </si>
  <si>
    <t>FRA/RATE/EUR/3M/3M</t>
  </si>
  <si>
    <t>FRA/RATE/EUR/4M/3M</t>
  </si>
  <si>
    <t>FRA/RATE/EUR/5M/3M</t>
  </si>
  <si>
    <t>FRA/RATE/EUR/6M/3M</t>
  </si>
  <si>
    <t>FRA/RATE/EUR/7M/3M</t>
  </si>
  <si>
    <t>FRA/RATE/EUR/8M/3M</t>
  </si>
  <si>
    <t>FRA/RATE/EUR/9M/3M</t>
  </si>
  <si>
    <t>FRA/RATE/EUR/12M/3M</t>
  </si>
  <si>
    <t>FRA/RATE/EUR/15M/3M</t>
  </si>
  <si>
    <t>FRA/RATE/EUR/18M/3M</t>
  </si>
  <si>
    <t>Tenor Basis Two Swaps</t>
  </si>
  <si>
    <t>BASIS_SWAP/BASIS_SPREAD/3M/6M/EUR/2Y</t>
  </si>
  <si>
    <t>BASIS_SWAP/BASIS_SPREAD/3M/6M/EUR/3Y</t>
  </si>
  <si>
    <t>BASIS_SWAP/BASIS_SPREAD/3M/6M/EUR/4Y</t>
  </si>
  <si>
    <t>BASIS_SWAP/BASIS_SPREAD/3M/6M/EUR/5Y</t>
  </si>
  <si>
    <t>BASIS_SWAP/BASIS_SPREAD/3M/6M/EUR/6Y</t>
  </si>
  <si>
    <t>BASIS_SWAP/BASIS_SPREAD/3M/6M/EUR/7Y</t>
  </si>
  <si>
    <t>BASIS_SWAP/BASIS_SPREAD/3M/6M/EUR/8Y</t>
  </si>
  <si>
    <t>BASIS_SWAP/BASIS_SPREAD/3M/6M/EUR/9Y</t>
  </si>
  <si>
    <t>BASIS_SWAP/BASIS_SPREAD/3M/6M/EUR/10Y</t>
  </si>
  <si>
    <t>BASIS_SWAP/BASIS_SPREAD/3M/6M/EUR/12Y</t>
  </si>
  <si>
    <t>BASIS_SWAP/BASIS_SPREAD/3M/6M/EUR/15Y</t>
  </si>
  <si>
    <t>BASIS_SWAP/BASIS_SPREAD/3M/6M/EUR/20Y</t>
  </si>
  <si>
    <t>BASIS_SWAP/BASIS_SPREAD/3M/6M/EUR/25Y</t>
  </si>
  <si>
    <t>BASIS_SWAP/BASIS_SPREAD/3M/6M/EUR/30Y</t>
  </si>
  <si>
    <t>EUR-EURIBOR-6M</t>
  </si>
  <si>
    <t>MM/RATE/EUR/2D/6M</t>
  </si>
  <si>
    <t>FRA/RATE/EUR/1M/6M</t>
  </si>
  <si>
    <t>FRA/RATE/EUR/2M/6M</t>
  </si>
  <si>
    <t>FRA/RATE/EUR/3M/6M</t>
  </si>
  <si>
    <t>FRA/RATE/EUR/4M/6M</t>
  </si>
  <si>
    <t>FRA/RATE/EUR/5M/6M</t>
  </si>
  <si>
    <t>FRA/RATE/EUR/6M/6M</t>
  </si>
  <si>
    <t>FRA/RATE/EUR/9M/6M</t>
  </si>
  <si>
    <t>FRA/RATE/EUR/12M/6M</t>
  </si>
  <si>
    <t>Swap</t>
  </si>
  <si>
    <t>IR_SWAP/RATE/EUR/2D/6M/2Y</t>
  </si>
  <si>
    <t>IR_SWAP/RATE/EUR/2D/6M/3Y</t>
  </si>
  <si>
    <t>IR_SWAP/RATE/EUR/2D/6M/4Y</t>
  </si>
  <si>
    <t>IR_SWAP/RATE/EUR/2D/6M/5Y</t>
  </si>
  <si>
    <t>IR_SWAP/RATE/EUR/2D/6M/6Y</t>
  </si>
  <si>
    <t>IR_SWAP/RATE/EUR/2D/6M/7Y</t>
  </si>
  <si>
    <t>IR_SWAP/RATE/EUR/2D/6M/8Y</t>
  </si>
  <si>
    <t>IR_SWAP/RATE/EUR/2D/6M/9Y</t>
  </si>
  <si>
    <t>IR_SWAP/RATE/EUR/2D/6M/10Y</t>
  </si>
  <si>
    <t>IR_SWAP/RATE/EUR/2D/6M/12Y</t>
  </si>
  <si>
    <t>IR_SWAP/RATE/EUR/2D/6M/15Y</t>
  </si>
  <si>
    <t>IR_SWAP/RATE/EUR/2D/6M/20Y</t>
  </si>
  <si>
    <t>IR_SWAP/RATE/EUR/2D/6M/25Y</t>
  </si>
  <si>
    <t>IR_SWAP/RATE/EUR/2D/6M/30Y</t>
  </si>
  <si>
    <t>IR_SWAP/RATE/EUR/2D/6M/40Y</t>
  </si>
  <si>
    <t>IR_SWAP/RATE/EUR/2D/6M/50Y</t>
  </si>
  <si>
    <t>EUR-IN-USD</t>
  </si>
  <si>
    <t>FX Forward</t>
  </si>
  <si>
    <t>FX/RATE/EUR/USD</t>
  </si>
  <si>
    <t>FXFWD/RATE/EUR/USD/1W</t>
  </si>
  <si>
    <t>FXFWD/RATE/EUR/USD/2W</t>
  </si>
  <si>
    <t>FXFWD/RATE/EUR/USD/3W</t>
  </si>
  <si>
    <t>FXFWD/RATE/EUR/USD/1M</t>
  </si>
  <si>
    <t>FXFWD/RATE/EUR/USD/2M</t>
  </si>
  <si>
    <t>FXFWD/RATE/EUR/USD/3M</t>
  </si>
  <si>
    <t>FXFWD/RATE/EUR/USD/4M</t>
  </si>
  <si>
    <t>FXFWD/RATE/EUR/USD/5M</t>
  </si>
  <si>
    <t>FXFWD/RATE/EUR/USD/6M</t>
  </si>
  <si>
    <t>FXFWD/RATE/EUR/USD/7M</t>
  </si>
  <si>
    <t>FXFWD/RATE/EUR/USD/8M</t>
  </si>
  <si>
    <t>FXFWD/RATE/EUR/USD/9M</t>
  </si>
  <si>
    <t>FXFWD/RATE/EUR/USD/10M</t>
  </si>
  <si>
    <t>FXFWD/RATE/EUR/USD/11M</t>
  </si>
  <si>
    <t>FXFWD/RATE/EUR/USD/1Y</t>
  </si>
  <si>
    <t>FXFWD/RATE/EUR/USD/15M</t>
  </si>
  <si>
    <t>FXFWD/RATE/EUR/USD/18M</t>
  </si>
  <si>
    <t>FXFWD/RATE/EUR/USD/21M</t>
  </si>
  <si>
    <t>Cross Currency Basis Swap</t>
  </si>
  <si>
    <t>CC_BASIS_SWAP/BASIS_SPREAD/USD/3M/EUR/3M/2Y</t>
  </si>
  <si>
    <t>CC_BASIS_SWAP/BASIS_SPREAD/USD/3M/EUR/3M/3Y</t>
  </si>
  <si>
    <t>CC_BASIS_SWAP/BASIS_SPREAD/USD/3M/EUR/3M/4Y</t>
  </si>
  <si>
    <t>CC_BASIS_SWAP/BASIS_SPREAD/USD/3M/EUR/3M/5Y</t>
  </si>
  <si>
    <t>CC_BASIS_SWAP/BASIS_SPREAD/USD/3M/EUR/3M/6Y</t>
  </si>
  <si>
    <t>CC_BASIS_SWAP/BASIS_SPREAD/USD/3M/EUR/3M/7Y</t>
  </si>
  <si>
    <t>CC_BASIS_SWAP/BASIS_SPREAD/USD/3M/EUR/3M/8Y</t>
  </si>
  <si>
    <t>CC_BASIS_SWAP/BASIS_SPREAD/USD/3M/EUR/3M/9Y</t>
  </si>
  <si>
    <t>CC_BASIS_SWAP/BASIS_SPREAD/USD/3M/EUR/3M/10Y</t>
  </si>
  <si>
    <t>CC_BASIS_SWAP/BASIS_SPREAD/USD/3M/EUR/3M/12Y</t>
  </si>
  <si>
    <t>CC_BASIS_SWAP/BASIS_SPREAD/USD/3M/EUR/3M/15Y</t>
  </si>
  <si>
    <t>CC_BASIS_SWAP/BASIS_SPREAD/USD/3M/EUR/3M/20Y</t>
  </si>
  <si>
    <t>CC_BASIS_SWAP/BASIS_SPREAD/USD/3M/EUR/3M/25Y</t>
  </si>
  <si>
    <t>CC_BASIS_SWAP/BASIS_SPREAD/USD/3M/EUR/3M/30Y</t>
  </si>
  <si>
    <t>USD-FedFunds</t>
  </si>
  <si>
    <t>MM/RATE/USD/0D/1D</t>
  </si>
  <si>
    <t>IR_SWAP/RATE/USD/2D/1D/1W</t>
  </si>
  <si>
    <t>IR_SWAP/RATE/USD/2D/1D/2W</t>
  </si>
  <si>
    <t>IR_SWAP/RATE/USD/2D/1D/3W</t>
  </si>
  <si>
    <t>IR_SWAP/RATE/USD/2D/1D/1M</t>
  </si>
  <si>
    <t>IR_SWAP/RATE/USD/2D/1D/2M</t>
  </si>
  <si>
    <t>IR_SWAP/RATE/USD/2D/1D/3M</t>
  </si>
  <si>
    <t>IR_SWAP/RATE/USD/2D/1D/4M</t>
  </si>
  <si>
    <t>IR_SWAP/RATE/USD/2D/1D/5M</t>
  </si>
  <si>
    <t>IR_SWAP/RATE/USD/2D/1D/6M</t>
  </si>
  <si>
    <t>IR_SWAP/RATE/USD/2D/1D/7M</t>
  </si>
  <si>
    <t>IR_SWAP/RATE/USD/2D/1D/8M</t>
  </si>
  <si>
    <t>IR_SWAP/RATE/USD/2D/1D/9M</t>
  </si>
  <si>
    <t>IR_SWAP/RATE/USD/2D/1D/10M</t>
  </si>
  <si>
    <t>IR_SWAP/RATE/USD/2D/1D/11M</t>
  </si>
  <si>
    <t>IR_SWAP/RATE/USD/2D/1D/1Y</t>
  </si>
  <si>
    <t>Average OIS</t>
  </si>
  <si>
    <t>BASIS_SWAP/BASIS_SPREAD/3M/1D/USD/2Y</t>
  </si>
  <si>
    <t>IR_SWAP/RATE/USD/2D/3M/2Y</t>
  </si>
  <si>
    <t>BASIS_SWAP/BASIS_SPREAD/3M/1D/USD/3Y</t>
  </si>
  <si>
    <t>IR_SWAP/RATE/USD/2D/3M/3Y</t>
  </si>
  <si>
    <t>BASIS_SWAP/BASIS_SPREAD/3M/1D/USD/4Y</t>
  </si>
  <si>
    <t>IR_SWAP/RATE/USD/2D/3M/4Y</t>
  </si>
  <si>
    <t>BASIS_SWAP/BASIS_SPREAD/3M/1D/USD/5Y</t>
  </si>
  <si>
    <t>IR_SWAP/RATE/USD/2D/3M/5Y</t>
  </si>
  <si>
    <t>BASIS_SWAP/BASIS_SPREAD/3M/1D/USD/7Y</t>
  </si>
  <si>
    <t>IR_SWAP/RATE/USD/2D/3M/7Y</t>
  </si>
  <si>
    <t>BASIS_SWAP/BASIS_SPREAD/3M/1D/USD/10Y</t>
  </si>
  <si>
    <t>IR_SWAP/RATE/USD/2D/3M/10Y</t>
  </si>
  <si>
    <t>BASIS_SWAP/BASIS_SPREAD/3M/1D/USD/15Y</t>
  </si>
  <si>
    <t>IR_SWAP/RATE/USD/2D/3M/15Y</t>
  </si>
  <si>
    <t>BASIS_SWAP/BASIS_SPREAD/3M/1D/USD/20Y</t>
  </si>
  <si>
    <t>IR_SWAP/RATE/USD/2D/3M/20Y</t>
  </si>
  <si>
    <t>BASIS_SWAP/BASIS_SPREAD/3M/1D/USD/30Y</t>
  </si>
  <si>
    <t>IR_SWAP/RATE/USD/2D/3M/30Y</t>
  </si>
  <si>
    <t>USD-LIBOR-3M</t>
  </si>
  <si>
    <t>MM/RATE/USD/2D/3M</t>
  </si>
  <si>
    <t>FRA/RATE/USD/1M/3M</t>
  </si>
  <si>
    <t>FRA/RATE/USD/2M/3M</t>
  </si>
  <si>
    <t>FRA/RATE/USD/3M/3M</t>
  </si>
  <si>
    <t>FRA/RATE/USD/4M/3M</t>
  </si>
  <si>
    <t>FRA/RATE/USD/5M/3M</t>
  </si>
  <si>
    <t>FRA/RATE/USD/6M/3M</t>
  </si>
  <si>
    <t>FRA/RATE/USD/7M/3M</t>
  </si>
  <si>
    <t>FRA/RATE/USD/8M/3M</t>
  </si>
  <si>
    <t>FRA/RATE/USD/9M/3M</t>
  </si>
  <si>
    <t>IR_SWAP/RATE/USD/2D/3M/6Y</t>
  </si>
  <si>
    <t>IR_SWAP/RATE/USD/2D/3M/8Y</t>
  </si>
  <si>
    <t>IR_SWAP/RATE/USD/2D/3M/9Y</t>
  </si>
  <si>
    <t>IR_SWAP/RATE/USD/2D/3M/12Y</t>
  </si>
  <si>
    <t>IR_SWAP/RATE/USD/2D/3M/25Y</t>
  </si>
  <si>
    <t>IR_SWAP/RATE/USD/2D/3M/40Y</t>
  </si>
  <si>
    <t>IR_SWAP/RATE/USD/2D/3M/50Y</t>
  </si>
  <si>
    <t>USD-LIBOR-6M</t>
  </si>
  <si>
    <t>MM/RATE/USD/2D/6M</t>
  </si>
  <si>
    <t>FRA/RATE/USD/1M/6M</t>
  </si>
  <si>
    <t>FRA/RATE/USD/2M/6M</t>
  </si>
  <si>
    <t>FRA/RATE/USD/3M/6M</t>
  </si>
  <si>
    <t>FRA/RATE/USD/4M/6M</t>
  </si>
  <si>
    <t>FRA/RATE/USD/5M/6M</t>
  </si>
  <si>
    <t>FRA/RATE/USD/6M/6M</t>
  </si>
  <si>
    <t>FRA/RATE/USD/9M/6M</t>
  </si>
  <si>
    <t>FRA/RATE/USD/12M/6M</t>
  </si>
  <si>
    <t>Tenor Basis Swap</t>
  </si>
  <si>
    <t>BASIS_SWAP/BASIS_SPREAD/3M/6M/USD/2Y</t>
  </si>
  <si>
    <t>BASIS_SWAP/BASIS_SPREAD/3M/6M/USD/3Y</t>
  </si>
  <si>
    <t>BASIS_SWAP/BASIS_SPREAD/3M/6M/USD/4Y</t>
  </si>
  <si>
    <t>BASIS_SWAP/BASIS_SPREAD/3M/6M/USD/5Y</t>
  </si>
  <si>
    <t>BASIS_SWAP/BASIS_SPREAD/3M/6M/USD/6Y</t>
  </si>
  <si>
    <t>BASIS_SWAP/BASIS_SPREAD/3M/6M/USD/7Y</t>
  </si>
  <si>
    <t>BASIS_SWAP/BASIS_SPREAD/3M/6M/USD/8Y</t>
  </si>
  <si>
    <t>BASIS_SWAP/BASIS_SPREAD/3M/6M/USD/9Y</t>
  </si>
  <si>
    <t>BASIS_SWAP/BASIS_SPREAD/3M/6M/USD/10Y</t>
  </si>
  <si>
    <t>BASIS_SWAP/BASIS_SPREAD/3M/6M/USD/11Y</t>
  </si>
  <si>
    <t>BASIS_SWAP/BASIS_SPREAD/3M/6M/USD/12Y</t>
  </si>
  <si>
    <t>BASIS_SWAP/BASIS_SPREAD/3M/6M/USD/15Y</t>
  </si>
  <si>
    <t>BASIS_SWAP/BASIS_SPREAD/3M/6M/USD/20Y</t>
  </si>
  <si>
    <t>BASIS_SWAP/BASIS_SPREAD/3M/6M/USD/25Y</t>
  </si>
  <si>
    <t>BASIS_SWAP/BASIS_SPREAD/3M/6M/USD/30Y</t>
  </si>
  <si>
    <t>Fixing date</t>
  </si>
  <si>
    <t>Index</t>
  </si>
  <si>
    <t>FX-ECB-EUR-USD</t>
  </si>
  <si>
    <t>The 2019-08-03 USD-LIBOR-6M fixing falls on a Saturday and is not used by the trade.</t>
  </si>
  <si>
    <t>Quote objects</t>
  </si>
  <si>
    <t>Errors</t>
  </si>
  <si>
    <t>Cross_Currency_Swap_rebalancing: curve handles, indexes and fixings</t>
  </si>
  <si>
    <t>Indexes forecast on relinkable curve handles, which are linked to the bootstrapped curves in later sheets.</t>
  </si>
  <si>
    <t>Curve handle</t>
  </si>
  <si>
    <t>Object</t>
  </si>
  <si>
    <t>Index (ORE name)</t>
  </si>
  <si>
    <t>Name</t>
  </si>
  <si>
    <t>Fixing calendar</t>
  </si>
  <si>
    <t>Fixing days</t>
  </si>
  <si>
    <t>Day counter</t>
  </si>
  <si>
    <t>Value date of 2019-08-01</t>
  </si>
  <si>
    <t>FX index</t>
  </si>
  <si>
    <t>Source</t>
  </si>
  <si>
    <t>Target</t>
  </si>
  <si>
    <t>FX-ECB-USD-EUR (inverse, reads EUR/USD fixings)</t>
  </si>
  <si>
    <t>Add fixing</t>
  </si>
  <si>
    <t>Read back</t>
  </si>
  <si>
    <t>Difference</t>
  </si>
  <si>
    <t>Trigger (indexes and fixings ready)</t>
  </si>
  <si>
    <t>Inverse spot quote</t>
  </si>
  <si>
    <t>USD/EUR fixing 2019-08-01</t>
  </si>
  <si>
    <t>USD-FedFunds: Discount/LogLinear, A365, extrapolation; deposit 1D, OIS 1W-1Y (USD-OIS), average OIS 2Y-30Y (USD-AVERAGE-OIS)</t>
  </si>
  <si>
    <t>Average OIS: FedFunds compounded 3M + spread vs 6M 30/360 fixed (US calendar, MF), spot lag 2D, rate cutoff 2. Quote = 3M LIBOR swap rate, spread = 3M/1D basis.</t>
  </si>
  <si>
    <t>Quote</t>
  </si>
  <si>
    <t>Rate</t>
  </si>
  <si>
    <t>Spread</t>
  </si>
  <si>
    <t>Helper</t>
  </si>
  <si>
    <t>IR_SWAP/RATE/USD/2D/3M/2Y + BASIS_SWAP/BASIS_SPREAD/3M/1D/USD/2Y</t>
  </si>
  <si>
    <t>IR_SWAP/RATE/USD/2D/3M/3Y + BASIS_SWAP/BASIS_SPREAD/3M/1D/USD/3Y</t>
  </si>
  <si>
    <t>IR_SWAP/RATE/USD/2D/3M/4Y + BASIS_SWAP/BASIS_SPREAD/3M/1D/USD/4Y</t>
  </si>
  <si>
    <t>IR_SWAP/RATE/USD/2D/3M/5Y + BASIS_SWAP/BASIS_SPREAD/3M/1D/USD/5Y</t>
  </si>
  <si>
    <t>IR_SWAP/RATE/USD/2D/3M/7Y + BASIS_SWAP/BASIS_SPREAD/3M/1D/USD/7Y</t>
  </si>
  <si>
    <t>IR_SWAP/RATE/USD/2D/3M/10Y + BASIS_SWAP/BASIS_SPREAD/3M/1D/USD/10Y</t>
  </si>
  <si>
    <t>IR_SWAP/RATE/USD/2D/3M/15Y + BASIS_SWAP/BASIS_SPREAD/3M/1D/USD/15Y</t>
  </si>
  <si>
    <t>IR_SWAP/RATE/USD/2D/3M/20Y + BASIS_SWAP/BASIS_SPREAD/3M/1D/USD/20Y</t>
  </si>
  <si>
    <t>IR_SWAP/RATE/USD/2D/3M/30Y + BASIS_SWAP/BASIS_SPREAD/3M/1D/USD/30Y</t>
  </si>
  <si>
    <t>Link handle H_USD-FedFunds</t>
  </si>
  <si>
    <t>Date</t>
  </si>
  <si>
    <t>ORE discount factor</t>
  </si>
  <si>
    <t>Excel discount factor</t>
  </si>
  <si>
    <t>Rel. difference</t>
  </si>
  <si>
    <t>Max abs difference</t>
  </si>
  <si>
    <t>EUR-EONIA: Discount/LogLinear, A365, extrapolation; deposit 1D (EUR-ON-DEPOSIT), OIS 1W-30Y (EUR-OIS)</t>
  </si>
  <si>
    <t>EUR-OIS: spot lag 2, fixed A360, TARGET, payment lag 1, Annual, Following/Following, Backward, EOM false.</t>
  </si>
  <si>
    <t>Link handle H_EUR-EONIA</t>
  </si>
  <si>
    <t>USD-LIBOR-3M: Discount/LogLinear, A365, extrapolation; discount curve USD-FedFunds; deposit 3M, FRAs 1x4..9x12, swaps 2Y-50Y</t>
  </si>
  <si>
    <t>USD-LIBOR-3M-SWAP: fixed calendar US+UK, Semiannual, MF, 30/360 (USA); float index USD-LIBOR-3M.</t>
  </si>
  <si>
    <t>Link handle H_USD-LIBOR-3M</t>
  </si>
  <si>
    <t>USD-LIBOR-6M: Discount/LogLinear, A365, extrapolation; discount curve USD-FedFunds; deposit 6M, FRAs 1x7..12x18, 3M/6M tenor basis 2Y-30Y</t>
  </si>
  <si>
    <t>USD-LIBOR-3M-6M-BASIS: pay USD-LIBOR-6M (bootstrapped), receive USD-LIBOR-3M (given) compounded to 6M, spread on receive leg, telescopic dates.</t>
  </si>
  <si>
    <t>Tenor basis</t>
  </si>
  <si>
    <t>Link handle H_USD-LIBOR-6M</t>
  </si>
  <si>
    <t>EUR-EURIBOR-6M: Discount/LogLinear, A365, extrapolation; discount curve EUR-EONIA; deposit 6M, FRAs, swaps</t>
  </si>
  <si>
    <t>EUR-EURIBOR-6M-SWAP: fixed calendar TARGET, Annual, MF, 30/360 (USA); float index EUR-EURIBOR-6M.</t>
  </si>
  <si>
    <t>Link handle H_EUR-EURIBOR-6M</t>
  </si>
  <si>
    <t>EUR-EURIBOR-3M: Discount/LogLinear, A365, extrapolation; discount curve EUR-EONIA; deposit 3M, FRAs, 3M/6M basis two swaps</t>
  </si>
  <si>
    <t>EURIBOR-3M-6M-BASIS: TARGET, Annual/MF/30/360 fixed on both swaps; long index EUR-EURIBOR-6M (given), short index EUR-EURIBOR-3M (bootstrapped), long minus short.</t>
  </si>
  <si>
    <t>Basis two swaps</t>
  </si>
  <si>
    <t>Link handle H_EUR-EURIBOR-3M</t>
  </si>
  <si>
    <t>Helper trigger</t>
  </si>
  <si>
    <t>FX forward</t>
  </si>
  <si>
    <t>Link handle H_EUR-IN-USD</t>
  </si>
  <si>
    <t>EUR-IN-USD: EUR discount curve collateralised in USD. Discount/LogLinear, A365, extrapolation; FX forwards + non-resetting xccy basis swaps vs USD-FedFunds</t>
  </si>
  <si>
    <t>EUR-USD-FX: spot 2D, TARGET+US, Following, points factor 10000. USD-EUR-XCCY-BASIS: settle 2D TARGET+US+UK, MF; IsResettable unset (false): non-resetting; flat USD-LIBOR-3M (domestic), spread EUR-EURIBOR-3M; telescopic value dates.</t>
  </si>
  <si>
    <t>Xccy basis</t>
  </si>
  <si>
    <t>XCCY_Swap_EUR_USD_RESET: receive USD-LIBOR-6M on USD 100m; pay EUR-EURIBOR-6M + 150bp on an FX-reset EUR notional (USD 100m via FX-ECB, 2 fixing days); +/-999.99 EUR flows on 2020-02-05.</t>
  </si>
  <si>
    <t>Legs (ORE order): 0 USD Ibor, 1 EUR cashflow, 2 EUR cashflow, 3 EUR Ibor FX-linked notional, 4 USD notional exchanges, 5 EUR FX-linked notional exchanges.</t>
  </si>
  <si>
    <t>Curve trigger</t>
  </si>
  <si>
    <t>Schedule</t>
  </si>
  <si>
    <t>Period</t>
  </si>
  <si>
    <t>Start</t>
  </si>
  <si>
    <t>End</t>
  </si>
  <si>
    <t>FX fixing date</t>
  </si>
  <si>
    <t>Out flow amount</t>
  </si>
  <si>
    <t>In flow amount</t>
  </si>
  <si>
    <t>Leg</t>
  </si>
  <si>
    <t>Payer</t>
  </si>
  <si>
    <t>Currency</t>
  </si>
  <si>
    <t>0 USD LIBOR-6M</t>
  </si>
  <si>
    <t>USD</t>
  </si>
  <si>
    <t>1 EUR cashflow</t>
  </si>
  <si>
    <t>EUR</t>
  </si>
  <si>
    <t>2 EUR cashflow</t>
  </si>
  <si>
    <t>3a EUR EURIBOR-6M+150bp (underlying)</t>
  </si>
  <si>
    <t>3 EUR FX-linked notional coupons</t>
  </si>
  <si>
    <t>4 USD final notional</t>
  </si>
  <si>
    <t>5 EUR FX-linked notional exchanges</t>
  </si>
  <si>
    <t>Currency swap</t>
  </si>
  <si>
    <t>EUR/USD spot date</t>
  </si>
  <si>
    <t>EUR/USD today (spot x DF_USD/DF_EUR at spot date)</t>
  </si>
  <si>
    <t>FX quote EUR/USD today</t>
  </si>
  <si>
    <t>FX quote USD/USD</t>
  </si>
  <si>
    <t>Engine</t>
  </si>
  <si>
    <t>Set engine</t>
  </si>
  <si>
    <t>NPV (USD)</t>
  </si>
  <si>
    <t>ORE</t>
  </si>
  <si>
    <t>NPV in leg ccy</t>
  </si>
  <si>
    <t>Flow analysis leg 0 (after 2019-12-30); payer=FALSE</t>
  </si>
  <si>
    <t>Flow analysis leg 1 (after 2019-12-30); payer=TRUE</t>
  </si>
  <si>
    <t>Flow analysis leg 2 (after 2019-12-30); payer=TRUE</t>
  </si>
  <si>
    <t>Flow analysis leg 3 (after 2019-12-30); payer=TRUE</t>
  </si>
  <si>
    <t>Flow analysis leg 4 (after 2019-12-30); payer=FALSE</t>
  </si>
  <si>
    <t>Flow analysis leg 5 (after 2019-12-30); payer=TRUE</t>
  </si>
  <si>
    <t>Pay date</t>
  </si>
  <si>
    <t>Excel amount (signed)</t>
  </si>
  <si>
    <t>ORE amount</t>
  </si>
  <si>
    <t>Excel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</si>
</sst>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00000000"/>
    <numFmt numFmtId="166" formatCode="0.0000000000"/>
    <numFmt numFmtId="167" formatCode="#,##0.000000"/>
    <numFmt numFmtId="168" formatCode="#,##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1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3A09B-1C78-43DD-B029-11EFD00A3A33}">
  <dimension ref="A1:J212"/>
  <sheetViews>
    <sheetView tabSelected="1" workbookViewId="0"/>
  </sheetViews>
  <sheetFormatPr defaultRowHeight="14.4" x14ac:dyDescent="0.3"/>
  <cols>
    <col min="1" max="1" width="16.77734375" customWidth="1"/>
    <col min="2" max="2" width="26.77734375" customWidth="1"/>
    <col min="3" max="3" width="44.77734375" customWidth="1"/>
    <col min="4" max="4" width="14.77734375" customWidth="1"/>
    <col min="5" max="5" width="60.77734375" customWidth="1"/>
    <col min="6" max="6" width="12.77734375" customWidth="1"/>
    <col min="8" max="8" width="12.77734375" customWidth="1"/>
    <col min="9" max="9" width="18.77734375" customWidth="1"/>
    <col min="10" max="10" width="12.77734375" customWidth="1"/>
  </cols>
  <sheetData>
    <row r="1" spans="1:10" x14ac:dyDescent="0.3">
      <c r="A1" s="2" t="s">
        <v>0</v>
      </c>
    </row>
    <row r="2" spans="1:10" x14ac:dyDescent="0.3">
      <c r="A2" t="s">
        <v>1</v>
      </c>
    </row>
    <row r="4" spans="1:10" x14ac:dyDescent="0.3">
      <c r="A4" t="s">
        <v>2</v>
      </c>
      <c r="B4" t="b">
        <f>_xll.qlSettingsSetEvaluationDate(DATE(2019,12,30),FALSE)</f>
        <v>1</v>
      </c>
      <c r="C4" t="str">
        <f>_xll.ohRangeRetrieveError(B4)</f>
        <v/>
      </c>
    </row>
    <row r="6" spans="1:10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H6" s="2" t="s">
        <v>219</v>
      </c>
      <c r="I6" s="2" t="s">
        <v>220</v>
      </c>
      <c r="J6" s="2" t="s">
        <v>6</v>
      </c>
    </row>
    <row r="7" spans="1:10" x14ac:dyDescent="0.3">
      <c r="A7" t="s">
        <v>9</v>
      </c>
      <c r="B7" t="s">
        <v>10</v>
      </c>
      <c r="C7" t="s">
        <v>11</v>
      </c>
      <c r="D7">
        <v>-4.5399999999999998E-3</v>
      </c>
      <c r="E7" t="str">
        <f>_xll.qlSimpleQuote(SUBSTITUTE(A7&amp;"_"&amp;C7,"/","_"),D7,0,FALSE,$B$4)</f>
        <v>EUR-EONIA_MM_RATE_EUR_0D_1D#0000</v>
      </c>
      <c r="F7" t="str">
        <f>_xll.ohRangeRetrieveError(E7)</f>
        <v/>
      </c>
      <c r="H7" s="1">
        <f>DATE(2019,8,1)</f>
        <v>43678</v>
      </c>
      <c r="I7" t="s">
        <v>221</v>
      </c>
      <c r="J7">
        <v>1.1036999999999999</v>
      </c>
    </row>
    <row r="8" spans="1:10" x14ac:dyDescent="0.3">
      <c r="A8" t="s">
        <v>9</v>
      </c>
      <c r="B8" t="s">
        <v>12</v>
      </c>
      <c r="C8" t="s">
        <v>13</v>
      </c>
      <c r="D8">
        <v>-4.6800000000000001E-3</v>
      </c>
      <c r="E8" t="str">
        <f>_xll.qlSimpleQuote(SUBSTITUTE(A8&amp;"_"&amp;C8,"/","_"),D8,0,FALSE,$B$4)</f>
        <v>EUR-EONIA_IR_SWAP_RATE_EUR_2D_1D_1W#0000</v>
      </c>
      <c r="F8" t="str">
        <f>_xll.ohRangeRetrieveError(E8)</f>
        <v/>
      </c>
      <c r="H8" s="1">
        <f>DATE(2019,8,3)</f>
        <v>43680</v>
      </c>
      <c r="I8" t="s">
        <v>193</v>
      </c>
      <c r="J8">
        <v>2.2268799999999998E-2</v>
      </c>
    </row>
    <row r="9" spans="1:10" x14ac:dyDescent="0.3">
      <c r="A9" t="s">
        <v>9</v>
      </c>
      <c r="B9" t="s">
        <v>12</v>
      </c>
      <c r="C9" t="s">
        <v>14</v>
      </c>
      <c r="D9">
        <v>-4.4999999999999997E-3</v>
      </c>
      <c r="E9" t="str">
        <f>_xll.qlSimpleQuote(SUBSTITUTE(A9&amp;"_"&amp;C9,"/","_"),D9,0,FALSE,$B$4)</f>
        <v>EUR-EONIA_IR_SWAP_RATE_EUR_2D_1D_2W#0000</v>
      </c>
      <c r="F9" t="str">
        <f>_xll.ohRangeRetrieveError(E9)</f>
        <v/>
      </c>
      <c r="H9" s="1">
        <f>DATE(2019,8,1)</f>
        <v>43678</v>
      </c>
      <c r="I9" t="s">
        <v>193</v>
      </c>
      <c r="J9">
        <v>2.2268799999999998E-2</v>
      </c>
    </row>
    <row r="10" spans="1:10" x14ac:dyDescent="0.3">
      <c r="A10" t="s">
        <v>9</v>
      </c>
      <c r="B10" t="s">
        <v>12</v>
      </c>
      <c r="C10" t="s">
        <v>15</v>
      </c>
      <c r="D10">
        <v>-4.6699999999999997E-3</v>
      </c>
      <c r="E10" t="str">
        <f>_xll.qlSimpleQuote(SUBSTITUTE(A10&amp;"_"&amp;C10,"/","_"),D10,0,FALSE,$B$4)</f>
        <v>EUR-EONIA_IR_SWAP_RATE_EUR_2D_1D_3W#0000</v>
      </c>
      <c r="F10" t="str">
        <f>_xll.ohRangeRetrieveError(E10)</f>
        <v/>
      </c>
      <c r="H10" s="1">
        <f>DATE(2019,8,1)</f>
        <v>43678</v>
      </c>
      <c r="I10" t="s">
        <v>76</v>
      </c>
      <c r="J10">
        <v>-3.63E-3</v>
      </c>
    </row>
    <row r="11" spans="1:10" x14ac:dyDescent="0.3">
      <c r="A11" t="s">
        <v>9</v>
      </c>
      <c r="B11" t="s">
        <v>12</v>
      </c>
      <c r="C11" t="s">
        <v>16</v>
      </c>
      <c r="D11">
        <v>-4.4819999999999999E-3</v>
      </c>
      <c r="E11" t="str">
        <f>_xll.qlSimpleQuote(SUBSTITUTE(A11&amp;"_"&amp;C11,"/","_"),D11,0,FALSE,$B$4)</f>
        <v>EUR-EONIA_IR_SWAP_RATE_EUR_2D_1D_1M#0000</v>
      </c>
      <c r="F11" t="str">
        <f>_xll.ohRangeRetrieveError(E11)</f>
        <v/>
      </c>
    </row>
    <row r="12" spans="1:10" x14ac:dyDescent="0.3">
      <c r="A12" t="s">
        <v>9</v>
      </c>
      <c r="B12" t="s">
        <v>12</v>
      </c>
      <c r="C12" t="s">
        <v>17</v>
      </c>
      <c r="D12">
        <v>-4.4720000000000003E-3</v>
      </c>
      <c r="E12" t="str">
        <f>_xll.qlSimpleQuote(SUBSTITUTE(A12&amp;"_"&amp;C12,"/","_"),D12,0,FALSE,$B$4)</f>
        <v>EUR-EONIA_IR_SWAP_RATE_EUR_2D_1D_2M#0000</v>
      </c>
      <c r="F12" t="str">
        <f>_xll.ohRangeRetrieveError(E12)</f>
        <v/>
      </c>
      <c r="H12" t="s">
        <v>222</v>
      </c>
    </row>
    <row r="13" spans="1:10" x14ac:dyDescent="0.3">
      <c r="A13" t="s">
        <v>9</v>
      </c>
      <c r="B13" t="s">
        <v>12</v>
      </c>
      <c r="C13" t="s">
        <v>18</v>
      </c>
      <c r="D13">
        <v>-4.4660000000000004E-3</v>
      </c>
      <c r="E13" t="str">
        <f>_xll.qlSimpleQuote(SUBSTITUTE(A13&amp;"_"&amp;C13,"/","_"),D13,0,FALSE,$B$4)</f>
        <v>EUR-EONIA_IR_SWAP_RATE_EUR_2D_1D_3M#0000</v>
      </c>
      <c r="F13" t="str">
        <f>_xll.ohRangeRetrieveError(E13)</f>
        <v/>
      </c>
    </row>
    <row r="14" spans="1:10" x14ac:dyDescent="0.3">
      <c r="A14" t="s">
        <v>9</v>
      </c>
      <c r="B14" t="s">
        <v>12</v>
      </c>
      <c r="C14" t="s">
        <v>19</v>
      </c>
      <c r="D14">
        <v>-4.4650000000000002E-3</v>
      </c>
      <c r="E14" t="str">
        <f>_xll.qlSimpleQuote(SUBSTITUTE(A14&amp;"_"&amp;C14,"/","_"),D14,0,FALSE,$B$4)</f>
        <v>EUR-EONIA_IR_SWAP_RATE_EUR_2D_1D_4M#0000</v>
      </c>
      <c r="F14" t="str">
        <f>_xll.ohRangeRetrieveError(E14)</f>
        <v/>
      </c>
    </row>
    <row r="15" spans="1:10" x14ac:dyDescent="0.3">
      <c r="A15" t="s">
        <v>9</v>
      </c>
      <c r="B15" t="s">
        <v>12</v>
      </c>
      <c r="C15" t="s">
        <v>20</v>
      </c>
      <c r="D15">
        <v>-4.4669999999999996E-3</v>
      </c>
      <c r="E15" t="str">
        <f>_xll.qlSimpleQuote(SUBSTITUTE(A15&amp;"_"&amp;C15,"/","_"),D15,0,FALSE,$B$4)</f>
        <v>EUR-EONIA_IR_SWAP_RATE_EUR_2D_1D_5M#0000</v>
      </c>
      <c r="F15" t="str">
        <f>_xll.ohRangeRetrieveError(E15)</f>
        <v/>
      </c>
    </row>
    <row r="16" spans="1:10" x14ac:dyDescent="0.3">
      <c r="A16" t="s">
        <v>9</v>
      </c>
      <c r="B16" t="s">
        <v>12</v>
      </c>
      <c r="C16" t="s">
        <v>21</v>
      </c>
      <c r="D16">
        <v>-4.5100000000000001E-3</v>
      </c>
      <c r="E16" t="str">
        <f>_xll.qlSimpleQuote(SUBSTITUTE(A16&amp;"_"&amp;C16,"/","_"),D16,0,FALSE,$B$4)</f>
        <v>EUR-EONIA_IR_SWAP_RATE_EUR_2D_1D_6M#0000</v>
      </c>
      <c r="F16" t="str">
        <f>_xll.ohRangeRetrieveError(E16)</f>
        <v/>
      </c>
    </row>
    <row r="17" spans="1:6" x14ac:dyDescent="0.3">
      <c r="A17" t="s">
        <v>9</v>
      </c>
      <c r="B17" t="s">
        <v>12</v>
      </c>
      <c r="C17" t="s">
        <v>22</v>
      </c>
      <c r="D17">
        <v>-4.4790000000000003E-3</v>
      </c>
      <c r="E17" t="str">
        <f>_xll.qlSimpleQuote(SUBSTITUTE(A17&amp;"_"&amp;C17,"/","_"),D17,0,FALSE,$B$4)</f>
        <v>EUR-EONIA_IR_SWAP_RATE_EUR_2D_1D_7M#0000</v>
      </c>
      <c r="F17" t="str">
        <f>_xll.ohRangeRetrieveError(E17)</f>
        <v/>
      </c>
    </row>
    <row r="18" spans="1:6" x14ac:dyDescent="0.3">
      <c r="A18" t="s">
        <v>9</v>
      </c>
      <c r="B18" t="s">
        <v>12</v>
      </c>
      <c r="C18" t="s">
        <v>23</v>
      </c>
      <c r="D18">
        <v>-4.4840000000000001E-3</v>
      </c>
      <c r="E18" t="str">
        <f>_xll.qlSimpleQuote(SUBSTITUTE(A18&amp;"_"&amp;C18,"/","_"),D18,0,FALSE,$B$4)</f>
        <v>EUR-EONIA_IR_SWAP_RATE_EUR_2D_1D_8M#0000</v>
      </c>
      <c r="F18" t="str">
        <f>_xll.ohRangeRetrieveError(E18)</f>
        <v/>
      </c>
    </row>
    <row r="19" spans="1:6" x14ac:dyDescent="0.3">
      <c r="A19" t="s">
        <v>9</v>
      </c>
      <c r="B19" t="s">
        <v>12</v>
      </c>
      <c r="C19" t="s">
        <v>24</v>
      </c>
      <c r="D19">
        <v>-4.4879999999999998E-3</v>
      </c>
      <c r="E19" t="str">
        <f>_xll.qlSimpleQuote(SUBSTITUTE(A19&amp;"_"&amp;C19,"/","_"),D19,0,FALSE,$B$4)</f>
        <v>EUR-EONIA_IR_SWAP_RATE_EUR_2D_1D_9M#0000</v>
      </c>
      <c r="F19" t="str">
        <f>_xll.ohRangeRetrieveError(E19)</f>
        <v/>
      </c>
    </row>
    <row r="20" spans="1:6" x14ac:dyDescent="0.3">
      <c r="A20" t="s">
        <v>9</v>
      </c>
      <c r="B20" t="s">
        <v>12</v>
      </c>
      <c r="C20" t="s">
        <v>25</v>
      </c>
      <c r="D20">
        <v>-4.4929999999999996E-3</v>
      </c>
      <c r="E20" t="str">
        <f>_xll.qlSimpleQuote(SUBSTITUTE(A20&amp;"_"&amp;C20,"/","_"),D20,0,FALSE,$B$4)</f>
        <v>EUR-EONIA_IR_SWAP_RATE_EUR_2D_1D_10M#0000</v>
      </c>
      <c r="F20" t="str">
        <f>_xll.ohRangeRetrieveError(E20)</f>
        <v/>
      </c>
    </row>
    <row r="21" spans="1:6" x14ac:dyDescent="0.3">
      <c r="A21" t="s">
        <v>9</v>
      </c>
      <c r="B21" t="s">
        <v>12</v>
      </c>
      <c r="C21" t="s">
        <v>26</v>
      </c>
      <c r="D21">
        <v>-4.4939999999999997E-3</v>
      </c>
      <c r="E21" t="str">
        <f>_xll.qlSimpleQuote(SUBSTITUTE(A21&amp;"_"&amp;C21,"/","_"),D21,0,FALSE,$B$4)</f>
        <v>EUR-EONIA_IR_SWAP_RATE_EUR_2D_1D_11M#0000</v>
      </c>
      <c r="F21" t="str">
        <f>_xll.ohRangeRetrieveError(E21)</f>
        <v/>
      </c>
    </row>
    <row r="22" spans="1:6" x14ac:dyDescent="0.3">
      <c r="A22" t="s">
        <v>9</v>
      </c>
      <c r="B22" t="s">
        <v>12</v>
      </c>
      <c r="C22" t="s">
        <v>27</v>
      </c>
      <c r="D22">
        <v>-4.4949999999999999E-3</v>
      </c>
      <c r="E22" t="str">
        <f>_xll.qlSimpleQuote(SUBSTITUTE(A22&amp;"_"&amp;C22,"/","_"),D22,0,FALSE,$B$4)</f>
        <v>EUR-EONIA_IR_SWAP_RATE_EUR_2D_1D_1Y#0000</v>
      </c>
      <c r="F22" t="str">
        <f>_xll.ohRangeRetrieveError(E22)</f>
        <v/>
      </c>
    </row>
    <row r="23" spans="1:6" x14ac:dyDescent="0.3">
      <c r="A23" t="s">
        <v>9</v>
      </c>
      <c r="B23" t="s">
        <v>12</v>
      </c>
      <c r="C23" t="s">
        <v>28</v>
      </c>
      <c r="D23">
        <v>-4.4850000000000003E-3</v>
      </c>
      <c r="E23" t="str">
        <f>_xll.qlSimpleQuote(SUBSTITUTE(A23&amp;"_"&amp;C23,"/","_"),D23,0,FALSE,$B$4)</f>
        <v>EUR-EONIA_IR_SWAP_RATE_EUR_2D_1D_15M#0000</v>
      </c>
      <c r="F23" t="str">
        <f>_xll.ohRangeRetrieveError(E23)</f>
        <v/>
      </c>
    </row>
    <row r="24" spans="1:6" x14ac:dyDescent="0.3">
      <c r="A24" t="s">
        <v>9</v>
      </c>
      <c r="B24" t="s">
        <v>12</v>
      </c>
      <c r="C24" t="s">
        <v>29</v>
      </c>
      <c r="D24">
        <v>-4.4799999999999996E-3</v>
      </c>
      <c r="E24" t="str">
        <f>_xll.qlSimpleQuote(SUBSTITUTE(A24&amp;"_"&amp;C24,"/","_"),D24,0,FALSE,$B$4)</f>
        <v>EUR-EONIA_IR_SWAP_RATE_EUR_2D_1D_18M#0000</v>
      </c>
      <c r="F24" t="str">
        <f>_xll.ohRangeRetrieveError(E24)</f>
        <v/>
      </c>
    </row>
    <row r="25" spans="1:6" x14ac:dyDescent="0.3">
      <c r="A25" t="s">
        <v>9</v>
      </c>
      <c r="B25" t="s">
        <v>12</v>
      </c>
      <c r="C25" t="s">
        <v>30</v>
      </c>
      <c r="D25">
        <v>-4.4200000000000003E-3</v>
      </c>
      <c r="E25" t="str">
        <f>_xll.qlSimpleQuote(SUBSTITUTE(A25&amp;"_"&amp;C25,"/","_"),D25,0,FALSE,$B$4)</f>
        <v>EUR-EONIA_IR_SWAP_RATE_EUR_2D_1D_21M#0000</v>
      </c>
      <c r="F25" t="str">
        <f>_xll.ohRangeRetrieveError(E25)</f>
        <v/>
      </c>
    </row>
    <row r="26" spans="1:6" x14ac:dyDescent="0.3">
      <c r="A26" t="s">
        <v>9</v>
      </c>
      <c r="B26" t="s">
        <v>12</v>
      </c>
      <c r="C26" t="s">
        <v>31</v>
      </c>
      <c r="D26">
        <v>-4.3099999999999996E-3</v>
      </c>
      <c r="E26" t="str">
        <f>_xll.qlSimpleQuote(SUBSTITUTE(A26&amp;"_"&amp;C26,"/","_"),D26,0,FALSE,$B$4)</f>
        <v>EUR-EONIA_IR_SWAP_RATE_EUR_2D_1D_2Y#0000</v>
      </c>
      <c r="F26" t="str">
        <f>_xll.ohRangeRetrieveError(E26)</f>
        <v/>
      </c>
    </row>
    <row r="27" spans="1:6" x14ac:dyDescent="0.3">
      <c r="A27" t="s">
        <v>9</v>
      </c>
      <c r="B27" t="s">
        <v>12</v>
      </c>
      <c r="C27" t="s">
        <v>32</v>
      </c>
      <c r="D27">
        <v>-3.9699999999999996E-3</v>
      </c>
      <c r="E27" t="str">
        <f>_xll.qlSimpleQuote(SUBSTITUTE(A27&amp;"_"&amp;C27,"/","_"),D27,0,FALSE,$B$4)</f>
        <v>EUR-EONIA_IR_SWAP_RATE_EUR_2D_1D_3Y#0000</v>
      </c>
      <c r="F27" t="str">
        <f>_xll.ohRangeRetrieveError(E27)</f>
        <v/>
      </c>
    </row>
    <row r="28" spans="1:6" x14ac:dyDescent="0.3">
      <c r="A28" t="s">
        <v>9</v>
      </c>
      <c r="B28" t="s">
        <v>12</v>
      </c>
      <c r="C28" t="s">
        <v>33</v>
      </c>
      <c r="D28">
        <v>-3.5000000000000001E-3</v>
      </c>
      <c r="E28" t="str">
        <f>_xll.qlSimpleQuote(SUBSTITUTE(A28&amp;"_"&amp;C28,"/","_"),D28,0,FALSE,$B$4)</f>
        <v>EUR-EONIA_IR_SWAP_RATE_EUR_2D_1D_4Y#0000</v>
      </c>
      <c r="F28" t="str">
        <f>_xll.ohRangeRetrieveError(E28)</f>
        <v/>
      </c>
    </row>
    <row r="29" spans="1:6" x14ac:dyDescent="0.3">
      <c r="A29" t="s">
        <v>9</v>
      </c>
      <c r="B29" t="s">
        <v>12</v>
      </c>
      <c r="C29" t="s">
        <v>34</v>
      </c>
      <c r="D29">
        <v>-2.9199999999999999E-3</v>
      </c>
      <c r="E29" t="str">
        <f>_xll.qlSimpleQuote(SUBSTITUTE(A29&amp;"_"&amp;C29,"/","_"),D29,0,FALSE,$B$4)</f>
        <v>EUR-EONIA_IR_SWAP_RATE_EUR_2D_1D_5Y#0000</v>
      </c>
      <c r="F29" t="str">
        <f>_xll.ohRangeRetrieveError(E29)</f>
        <v/>
      </c>
    </row>
    <row r="30" spans="1:6" x14ac:dyDescent="0.3">
      <c r="A30" t="s">
        <v>9</v>
      </c>
      <c r="B30" t="s">
        <v>12</v>
      </c>
      <c r="C30" t="s">
        <v>35</v>
      </c>
      <c r="D30">
        <v>-2.33E-3</v>
      </c>
      <c r="E30" t="str">
        <f>_xll.qlSimpleQuote(SUBSTITUTE(A30&amp;"_"&amp;C30,"/","_"),D30,0,FALSE,$B$4)</f>
        <v>EUR-EONIA_IR_SWAP_RATE_EUR_2D_1D_6Y#0000</v>
      </c>
      <c r="F30" t="str">
        <f>_xll.ohRangeRetrieveError(E30)</f>
        <v/>
      </c>
    </row>
    <row r="31" spans="1:6" x14ac:dyDescent="0.3">
      <c r="A31" t="s">
        <v>9</v>
      </c>
      <c r="B31" t="s">
        <v>12</v>
      </c>
      <c r="C31" t="s">
        <v>36</v>
      </c>
      <c r="D31">
        <v>-1.655E-3</v>
      </c>
      <c r="E31" t="str">
        <f>_xll.qlSimpleQuote(SUBSTITUTE(A31&amp;"_"&amp;C31,"/","_"),D31,0,FALSE,$B$4)</f>
        <v>EUR-EONIA_IR_SWAP_RATE_EUR_2D_1D_7Y#0000</v>
      </c>
      <c r="F31" t="str">
        <f>_xll.ohRangeRetrieveError(E31)</f>
        <v/>
      </c>
    </row>
    <row r="32" spans="1:6" x14ac:dyDescent="0.3">
      <c r="A32" t="s">
        <v>9</v>
      </c>
      <c r="B32" t="s">
        <v>12</v>
      </c>
      <c r="C32" t="s">
        <v>37</v>
      </c>
      <c r="D32">
        <v>-1.06E-3</v>
      </c>
      <c r="E32" t="str">
        <f>_xll.qlSimpleQuote(SUBSTITUTE(A32&amp;"_"&amp;C32,"/","_"),D32,0,FALSE,$B$4)</f>
        <v>EUR-EONIA_IR_SWAP_RATE_EUR_2D_1D_8Y#0000</v>
      </c>
      <c r="F32" t="str">
        <f>_xll.ohRangeRetrieveError(E32)</f>
        <v/>
      </c>
    </row>
    <row r="33" spans="1:6" x14ac:dyDescent="0.3">
      <c r="A33" t="s">
        <v>9</v>
      </c>
      <c r="B33" t="s">
        <v>12</v>
      </c>
      <c r="C33" t="s">
        <v>38</v>
      </c>
      <c r="D33">
        <v>-4.0999999999999999E-4</v>
      </c>
      <c r="E33" t="str">
        <f>_xll.qlSimpleQuote(SUBSTITUTE(A33&amp;"_"&amp;C33,"/","_"),D33,0,FALSE,$B$4)</f>
        <v>EUR-EONIA_IR_SWAP_RATE_EUR_2D_1D_9Y#0000</v>
      </c>
      <c r="F33" t="str">
        <f>_xll.ohRangeRetrieveError(E33)</f>
        <v/>
      </c>
    </row>
    <row r="34" spans="1:6" x14ac:dyDescent="0.3">
      <c r="A34" t="s">
        <v>9</v>
      </c>
      <c r="B34" t="s">
        <v>12</v>
      </c>
      <c r="C34" t="s">
        <v>39</v>
      </c>
      <c r="D34">
        <v>2.4000000000000001E-4</v>
      </c>
      <c r="E34" t="str">
        <f>_xll.qlSimpleQuote(SUBSTITUTE(A34&amp;"_"&amp;C34,"/","_"),D34,0,FALSE,$B$4)</f>
        <v>EUR-EONIA_IR_SWAP_RATE_EUR_2D_1D_10Y#0000</v>
      </c>
      <c r="F34" t="str">
        <f>_xll.ohRangeRetrieveError(E34)</f>
        <v/>
      </c>
    </row>
    <row r="35" spans="1:6" x14ac:dyDescent="0.3">
      <c r="A35" t="s">
        <v>9</v>
      </c>
      <c r="B35" t="s">
        <v>12</v>
      </c>
      <c r="C35" t="s">
        <v>40</v>
      </c>
      <c r="D35">
        <v>8.5999999999999998E-4</v>
      </c>
      <c r="E35" t="str">
        <f>_xll.qlSimpleQuote(SUBSTITUTE(A35&amp;"_"&amp;C35,"/","_"),D35,0,FALSE,$B$4)</f>
        <v>EUR-EONIA_IR_SWAP_RATE_EUR_2D_1D_11Y#0000</v>
      </c>
      <c r="F35" t="str">
        <f>_xll.ohRangeRetrieveError(E35)</f>
        <v/>
      </c>
    </row>
    <row r="36" spans="1:6" x14ac:dyDescent="0.3">
      <c r="A36" t="s">
        <v>9</v>
      </c>
      <c r="B36" t="s">
        <v>12</v>
      </c>
      <c r="C36" t="s">
        <v>41</v>
      </c>
      <c r="D36">
        <v>1.4599999999999999E-3</v>
      </c>
      <c r="E36" t="str">
        <f>_xll.qlSimpleQuote(SUBSTITUTE(A36&amp;"_"&amp;C36,"/","_"),D36,0,FALSE,$B$4)</f>
        <v>EUR-EONIA_IR_SWAP_RATE_EUR_2D_1D_12Y#0000</v>
      </c>
      <c r="F36" t="str">
        <f>_xll.ohRangeRetrieveError(E36)</f>
        <v/>
      </c>
    </row>
    <row r="37" spans="1:6" x14ac:dyDescent="0.3">
      <c r="A37" t="s">
        <v>9</v>
      </c>
      <c r="B37" t="s">
        <v>12</v>
      </c>
      <c r="C37" t="s">
        <v>42</v>
      </c>
      <c r="D37">
        <v>2.96E-3</v>
      </c>
      <c r="E37" t="str">
        <f>_xll.qlSimpleQuote(SUBSTITUTE(A37&amp;"_"&amp;C37,"/","_"),D37,0,FALSE,$B$4)</f>
        <v>EUR-EONIA_IR_SWAP_RATE_EUR_2D_1D_15Y#0000</v>
      </c>
      <c r="F37" t="str">
        <f>_xll.ohRangeRetrieveError(E37)</f>
        <v/>
      </c>
    </row>
    <row r="38" spans="1:6" x14ac:dyDescent="0.3">
      <c r="A38" t="s">
        <v>9</v>
      </c>
      <c r="B38" t="s">
        <v>12</v>
      </c>
      <c r="C38" t="s">
        <v>43</v>
      </c>
      <c r="D38">
        <v>4.385E-3</v>
      </c>
      <c r="E38" t="str">
        <f>_xll.qlSimpleQuote(SUBSTITUTE(A38&amp;"_"&amp;C38,"/","_"),D38,0,FALSE,$B$4)</f>
        <v>EUR-EONIA_IR_SWAP_RATE_EUR_2D_1D_20Y#0000</v>
      </c>
      <c r="F38" t="str">
        <f>_xll.ohRangeRetrieveError(E38)</f>
        <v/>
      </c>
    </row>
    <row r="39" spans="1:6" x14ac:dyDescent="0.3">
      <c r="A39" t="s">
        <v>9</v>
      </c>
      <c r="B39" t="s">
        <v>12</v>
      </c>
      <c r="C39" t="s">
        <v>44</v>
      </c>
      <c r="D39">
        <v>4.8500000000000001E-3</v>
      </c>
      <c r="E39" t="str">
        <f>_xll.qlSimpleQuote(SUBSTITUTE(A39&amp;"_"&amp;C39,"/","_"),D39,0,FALSE,$B$4)</f>
        <v>EUR-EONIA_IR_SWAP_RATE_EUR_2D_1D_25Y#0000</v>
      </c>
      <c r="F39" t="str">
        <f>_xll.ohRangeRetrieveError(E39)</f>
        <v/>
      </c>
    </row>
    <row r="40" spans="1:6" x14ac:dyDescent="0.3">
      <c r="A40" t="s">
        <v>9</v>
      </c>
      <c r="B40" t="s">
        <v>12</v>
      </c>
      <c r="C40" t="s">
        <v>45</v>
      </c>
      <c r="D40">
        <v>4.8999999999999998E-3</v>
      </c>
      <c r="E40" t="str">
        <f>_xll.qlSimpleQuote(SUBSTITUTE(A40&amp;"_"&amp;C40,"/","_"),D40,0,FALSE,$B$4)</f>
        <v>EUR-EONIA_IR_SWAP_RATE_EUR_2D_1D_30Y#0000</v>
      </c>
      <c r="F40" t="str">
        <f>_xll.ohRangeRetrieveError(E40)</f>
        <v/>
      </c>
    </row>
    <row r="41" spans="1:6" x14ac:dyDescent="0.3">
      <c r="A41" t="s">
        <v>46</v>
      </c>
      <c r="B41" t="s">
        <v>10</v>
      </c>
      <c r="C41" t="s">
        <v>47</v>
      </c>
      <c r="D41">
        <v>-3.8999999999999998E-3</v>
      </c>
      <c r="E41" t="str">
        <f>_xll.qlSimpleQuote(SUBSTITUTE(A41&amp;"_"&amp;C41,"/","_"),D41,0,FALSE,$B$4)</f>
        <v>EUR-EURIBOR-3M_MM_RATE_EUR_2D_3M#0000</v>
      </c>
      <c r="F41" t="str">
        <f>_xll.ohRangeRetrieveError(E41)</f>
        <v/>
      </c>
    </row>
    <row r="42" spans="1:6" x14ac:dyDescent="0.3">
      <c r="A42" t="s">
        <v>46</v>
      </c>
      <c r="B42" t="s">
        <v>48</v>
      </c>
      <c r="C42" t="s">
        <v>49</v>
      </c>
      <c r="D42">
        <v>-3.9500000000000004E-3</v>
      </c>
      <c r="E42" t="str">
        <f>_xll.qlSimpleQuote(SUBSTITUTE(A42&amp;"_"&amp;C42,"/","_"),D42,0,FALSE,$B$4)</f>
        <v>EUR-EURIBOR-3M_FRA_RATE_EUR_1M_3M#0000</v>
      </c>
      <c r="F42" t="str">
        <f>_xll.ohRangeRetrieveError(E42)</f>
        <v/>
      </c>
    </row>
    <row r="43" spans="1:6" x14ac:dyDescent="0.3">
      <c r="A43" t="s">
        <v>46</v>
      </c>
      <c r="B43" t="s">
        <v>48</v>
      </c>
      <c r="C43" t="s">
        <v>50</v>
      </c>
      <c r="D43">
        <v>-3.9500000000000004E-3</v>
      </c>
      <c r="E43" t="str">
        <f>_xll.qlSimpleQuote(SUBSTITUTE(A43&amp;"_"&amp;C43,"/","_"),D43,0,FALSE,$B$4)</f>
        <v>EUR-EURIBOR-3M_FRA_RATE_EUR_2M_3M#0000</v>
      </c>
      <c r="F43" t="str">
        <f>_xll.ohRangeRetrieveError(E43)</f>
        <v/>
      </c>
    </row>
    <row r="44" spans="1:6" x14ac:dyDescent="0.3">
      <c r="A44" t="s">
        <v>46</v>
      </c>
      <c r="B44" t="s">
        <v>48</v>
      </c>
      <c r="C44" t="s">
        <v>51</v>
      </c>
      <c r="D44">
        <v>-3.9500000000000004E-3</v>
      </c>
      <c r="E44" t="str">
        <f>_xll.qlSimpleQuote(SUBSTITUTE(A44&amp;"_"&amp;C44,"/","_"),D44,0,FALSE,$B$4)</f>
        <v>EUR-EURIBOR-3M_FRA_RATE_EUR_3M_3M#0000</v>
      </c>
      <c r="F44" t="str">
        <f>_xll.ohRangeRetrieveError(E44)</f>
        <v/>
      </c>
    </row>
    <row r="45" spans="1:6" x14ac:dyDescent="0.3">
      <c r="A45" t="s">
        <v>46</v>
      </c>
      <c r="B45" t="s">
        <v>48</v>
      </c>
      <c r="C45" t="s">
        <v>52</v>
      </c>
      <c r="D45">
        <v>-3.9500000000000004E-3</v>
      </c>
      <c r="E45" t="str">
        <f>_xll.qlSimpleQuote(SUBSTITUTE(A45&amp;"_"&amp;C45,"/","_"),D45,0,FALSE,$B$4)</f>
        <v>EUR-EURIBOR-3M_FRA_RATE_EUR_4M_3M#0000</v>
      </c>
      <c r="F45" t="str">
        <f>_xll.ohRangeRetrieveError(E45)</f>
        <v/>
      </c>
    </row>
    <row r="46" spans="1:6" x14ac:dyDescent="0.3">
      <c r="A46" t="s">
        <v>46</v>
      </c>
      <c r="B46" t="s">
        <v>48</v>
      </c>
      <c r="C46" t="s">
        <v>53</v>
      </c>
      <c r="D46">
        <v>-3.9500000000000004E-3</v>
      </c>
      <c r="E46" t="str">
        <f>_xll.qlSimpleQuote(SUBSTITUTE(A46&amp;"_"&amp;C46,"/","_"),D46,0,FALSE,$B$4)</f>
        <v>EUR-EURIBOR-3M_FRA_RATE_EUR_5M_3M#0000</v>
      </c>
      <c r="F46" t="str">
        <f>_xll.ohRangeRetrieveError(E46)</f>
        <v/>
      </c>
    </row>
    <row r="47" spans="1:6" x14ac:dyDescent="0.3">
      <c r="A47" t="s">
        <v>46</v>
      </c>
      <c r="B47" t="s">
        <v>48</v>
      </c>
      <c r="C47" t="s">
        <v>54</v>
      </c>
      <c r="D47">
        <v>-3.9329999999999999E-3</v>
      </c>
      <c r="E47" t="str">
        <f>_xll.qlSimpleQuote(SUBSTITUTE(A47&amp;"_"&amp;C47,"/","_"),D47,0,FALSE,$B$4)</f>
        <v>EUR-EURIBOR-3M_FRA_RATE_EUR_6M_3M#0000</v>
      </c>
      <c r="F47" t="str">
        <f>_xll.ohRangeRetrieveError(E47)</f>
        <v/>
      </c>
    </row>
    <row r="48" spans="1:6" x14ac:dyDescent="0.3">
      <c r="A48" t="s">
        <v>46</v>
      </c>
      <c r="B48" t="s">
        <v>48</v>
      </c>
      <c r="C48" t="s">
        <v>55</v>
      </c>
      <c r="D48">
        <v>-3.8999999999999998E-3</v>
      </c>
      <c r="E48" t="str">
        <f>_xll.qlSimpleQuote(SUBSTITUTE(A48&amp;"_"&amp;C48,"/","_"),D48,0,FALSE,$B$4)</f>
        <v>EUR-EURIBOR-3M_FRA_RATE_EUR_7M_3M#0000</v>
      </c>
      <c r="F48" t="str">
        <f>_xll.ohRangeRetrieveError(E48)</f>
        <v/>
      </c>
    </row>
    <row r="49" spans="1:6" x14ac:dyDescent="0.3">
      <c r="A49" t="s">
        <v>46</v>
      </c>
      <c r="B49" t="s">
        <v>48</v>
      </c>
      <c r="C49" t="s">
        <v>56</v>
      </c>
      <c r="D49">
        <v>-3.8999999999999998E-3</v>
      </c>
      <c r="E49" t="str">
        <f>_xll.qlSimpleQuote(SUBSTITUTE(A49&amp;"_"&amp;C49,"/","_"),D49,0,FALSE,$B$4)</f>
        <v>EUR-EURIBOR-3M_FRA_RATE_EUR_8M_3M#0000</v>
      </c>
      <c r="F49" t="str">
        <f>_xll.ohRangeRetrieveError(E49)</f>
        <v/>
      </c>
    </row>
    <row r="50" spans="1:6" x14ac:dyDescent="0.3">
      <c r="A50" t="s">
        <v>46</v>
      </c>
      <c r="B50" t="s">
        <v>48</v>
      </c>
      <c r="C50" t="s">
        <v>57</v>
      </c>
      <c r="D50">
        <v>-3.8999999999999998E-3</v>
      </c>
      <c r="E50" t="str">
        <f>_xll.qlSimpleQuote(SUBSTITUTE(A50&amp;"_"&amp;C50,"/","_"),D50,0,FALSE,$B$4)</f>
        <v>EUR-EURIBOR-3M_FRA_RATE_EUR_9M_3M#0000</v>
      </c>
      <c r="F50" t="str">
        <f>_xll.ohRangeRetrieveError(E50)</f>
        <v/>
      </c>
    </row>
    <row r="51" spans="1:6" x14ac:dyDescent="0.3">
      <c r="A51" t="s">
        <v>46</v>
      </c>
      <c r="B51" t="s">
        <v>48</v>
      </c>
      <c r="C51" t="s">
        <v>58</v>
      </c>
      <c r="D51">
        <v>-3.8E-3</v>
      </c>
      <c r="E51" t="str">
        <f>_xll.qlSimpleQuote(SUBSTITUTE(A51&amp;"_"&amp;C51,"/","_"),D51,0,FALSE,$B$4)</f>
        <v>EUR-EURIBOR-3M_FRA_RATE_EUR_12M_3M#0000</v>
      </c>
      <c r="F51" t="str">
        <f>_xll.ohRangeRetrieveError(E51)</f>
        <v/>
      </c>
    </row>
    <row r="52" spans="1:6" x14ac:dyDescent="0.3">
      <c r="A52" t="s">
        <v>46</v>
      </c>
      <c r="B52" t="s">
        <v>48</v>
      </c>
      <c r="C52" t="s">
        <v>59</v>
      </c>
      <c r="D52">
        <v>-3.7000000000000002E-3</v>
      </c>
      <c r="E52" t="str">
        <f>_xll.qlSimpleQuote(SUBSTITUTE(A52&amp;"_"&amp;C52,"/","_"),D52,0,FALSE,$B$4)</f>
        <v>EUR-EURIBOR-3M_FRA_RATE_EUR_15M_3M#0000</v>
      </c>
      <c r="F52" t="str">
        <f>_xll.ohRangeRetrieveError(E52)</f>
        <v/>
      </c>
    </row>
    <row r="53" spans="1:6" x14ac:dyDescent="0.3">
      <c r="A53" t="s">
        <v>46</v>
      </c>
      <c r="B53" t="s">
        <v>48</v>
      </c>
      <c r="C53" t="s">
        <v>60</v>
      </c>
      <c r="D53">
        <v>-3.3999999999999998E-3</v>
      </c>
      <c r="E53" t="str">
        <f>_xll.qlSimpleQuote(SUBSTITUTE(A53&amp;"_"&amp;C53,"/","_"),D53,0,FALSE,$B$4)</f>
        <v>EUR-EURIBOR-3M_FRA_RATE_EUR_18M_3M#0000</v>
      </c>
      <c r="F53" t="str">
        <f>_xll.ohRangeRetrieveError(E53)</f>
        <v/>
      </c>
    </row>
    <row r="54" spans="1:6" x14ac:dyDescent="0.3">
      <c r="A54" t="s">
        <v>46</v>
      </c>
      <c r="B54" t="s">
        <v>61</v>
      </c>
      <c r="C54" t="s">
        <v>62</v>
      </c>
      <c r="D54">
        <v>7.0120000000000002E-4</v>
      </c>
      <c r="E54" t="str">
        <f>_xll.qlSimpleQuote(SUBSTITUTE(A54&amp;"_"&amp;C54,"/","_"),D54,0,FALSE,$B$4)</f>
        <v>EUR-EURIBOR-3M_BASIS_SWAP_BASIS_SPREAD_3M_6M_EUR_2Y#0000</v>
      </c>
      <c r="F54" t="str">
        <f>_xll.ohRangeRetrieveError(E54)</f>
        <v/>
      </c>
    </row>
    <row r="55" spans="1:6" x14ac:dyDescent="0.3">
      <c r="A55" t="s">
        <v>46</v>
      </c>
      <c r="B55" t="s">
        <v>61</v>
      </c>
      <c r="C55" t="s">
        <v>63</v>
      </c>
      <c r="D55">
        <v>7.4109999999999996E-4</v>
      </c>
      <c r="E55" t="str">
        <f>_xll.qlSimpleQuote(SUBSTITUTE(A55&amp;"_"&amp;C55,"/","_"),D55,0,FALSE,$B$4)</f>
        <v>EUR-EURIBOR-3M_BASIS_SWAP_BASIS_SPREAD_3M_6M_EUR_3Y#0000</v>
      </c>
      <c r="F55" t="str">
        <f>_xll.ohRangeRetrieveError(E55)</f>
        <v/>
      </c>
    </row>
    <row r="56" spans="1:6" x14ac:dyDescent="0.3">
      <c r="A56" t="s">
        <v>46</v>
      </c>
      <c r="B56" t="s">
        <v>61</v>
      </c>
      <c r="C56" t="s">
        <v>64</v>
      </c>
      <c r="D56">
        <v>7.4149999999999997E-4</v>
      </c>
      <c r="E56" t="str">
        <f>_xll.qlSimpleQuote(SUBSTITUTE(A56&amp;"_"&amp;C56,"/","_"),D56,0,FALSE,$B$4)</f>
        <v>EUR-EURIBOR-3M_BASIS_SWAP_BASIS_SPREAD_3M_6M_EUR_4Y#0000</v>
      </c>
      <c r="F56" t="str">
        <f>_xll.ohRangeRetrieveError(E56)</f>
        <v/>
      </c>
    </row>
    <row r="57" spans="1:6" x14ac:dyDescent="0.3">
      <c r="A57" t="s">
        <v>46</v>
      </c>
      <c r="B57" t="s">
        <v>61</v>
      </c>
      <c r="C57" t="s">
        <v>65</v>
      </c>
      <c r="D57">
        <v>7.3669999999999996E-4</v>
      </c>
      <c r="E57" t="str">
        <f>_xll.qlSimpleQuote(SUBSTITUTE(A57&amp;"_"&amp;C57,"/","_"),D57,0,FALSE,$B$4)</f>
        <v>EUR-EURIBOR-3M_BASIS_SWAP_BASIS_SPREAD_3M_6M_EUR_5Y#0000</v>
      </c>
      <c r="F57" t="str">
        <f>_xll.ohRangeRetrieveError(E57)</f>
        <v/>
      </c>
    </row>
    <row r="58" spans="1:6" x14ac:dyDescent="0.3">
      <c r="A58" t="s">
        <v>46</v>
      </c>
      <c r="B58" t="s">
        <v>61</v>
      </c>
      <c r="C58" t="s">
        <v>66</v>
      </c>
      <c r="D58">
        <v>7.2250000000000005E-4</v>
      </c>
      <c r="E58" t="str">
        <f>_xll.qlSimpleQuote(SUBSTITUTE(A58&amp;"_"&amp;C58,"/","_"),D58,0,FALSE,$B$4)</f>
        <v>EUR-EURIBOR-3M_BASIS_SWAP_BASIS_SPREAD_3M_6M_EUR_6Y#0000</v>
      </c>
      <c r="F58" t="str">
        <f>_xll.ohRangeRetrieveError(E58)</f>
        <v/>
      </c>
    </row>
    <row r="59" spans="1:6" x14ac:dyDescent="0.3">
      <c r="A59" t="s">
        <v>46</v>
      </c>
      <c r="B59" t="s">
        <v>61</v>
      </c>
      <c r="C59" t="s">
        <v>67</v>
      </c>
      <c r="D59">
        <v>7.0359999999999997E-4</v>
      </c>
      <c r="E59" t="str">
        <f>_xll.qlSimpleQuote(SUBSTITUTE(A59&amp;"_"&amp;C59,"/","_"),D59,0,FALSE,$B$4)</f>
        <v>EUR-EURIBOR-3M_BASIS_SWAP_BASIS_SPREAD_3M_6M_EUR_7Y#0000</v>
      </c>
      <c r="F59" t="str">
        <f>_xll.ohRangeRetrieveError(E59)</f>
        <v/>
      </c>
    </row>
    <row r="60" spans="1:6" x14ac:dyDescent="0.3">
      <c r="A60" t="s">
        <v>46</v>
      </c>
      <c r="B60" t="s">
        <v>61</v>
      </c>
      <c r="C60" t="s">
        <v>68</v>
      </c>
      <c r="D60">
        <v>6.7969999999999999E-4</v>
      </c>
      <c r="E60" t="str">
        <f>_xll.qlSimpleQuote(SUBSTITUTE(A60&amp;"_"&amp;C60,"/","_"),D60,0,FALSE,$B$4)</f>
        <v>EUR-EURIBOR-3M_BASIS_SWAP_BASIS_SPREAD_3M_6M_EUR_8Y#0000</v>
      </c>
      <c r="F60" t="str">
        <f>_xll.ohRangeRetrieveError(E60)</f>
        <v/>
      </c>
    </row>
    <row r="61" spans="1:6" x14ac:dyDescent="0.3">
      <c r="A61" t="s">
        <v>46</v>
      </c>
      <c r="B61" t="s">
        <v>61</v>
      </c>
      <c r="C61" t="s">
        <v>69</v>
      </c>
      <c r="D61">
        <v>6.558E-4</v>
      </c>
      <c r="E61" t="str">
        <f>_xll.qlSimpleQuote(SUBSTITUTE(A61&amp;"_"&amp;C61,"/","_"),D61,0,FALSE,$B$4)</f>
        <v>EUR-EURIBOR-3M_BASIS_SWAP_BASIS_SPREAD_3M_6M_EUR_9Y#0000</v>
      </c>
      <c r="F61" t="str">
        <f>_xll.ohRangeRetrieveError(E61)</f>
        <v/>
      </c>
    </row>
    <row r="62" spans="1:6" x14ac:dyDescent="0.3">
      <c r="A62" t="s">
        <v>46</v>
      </c>
      <c r="B62" t="s">
        <v>61</v>
      </c>
      <c r="C62" t="s">
        <v>70</v>
      </c>
      <c r="D62">
        <v>6.2710000000000001E-4</v>
      </c>
      <c r="E62" t="str">
        <f>_xll.qlSimpleQuote(SUBSTITUTE(A62&amp;"_"&amp;C62,"/","_"),D62,0,FALSE,$B$4)</f>
        <v>EUR-EURIBOR-3M_BASIS_SWAP_BASIS_SPREAD_3M_6M_EUR_10Y#0000</v>
      </c>
      <c r="F62" t="str">
        <f>_xll.ohRangeRetrieveError(E62)</f>
        <v/>
      </c>
    </row>
    <row r="63" spans="1:6" x14ac:dyDescent="0.3">
      <c r="A63" t="s">
        <v>46</v>
      </c>
      <c r="B63" t="s">
        <v>61</v>
      </c>
      <c r="C63" t="s">
        <v>71</v>
      </c>
      <c r="D63">
        <v>5.6959999999999997E-4</v>
      </c>
      <c r="E63" t="str">
        <f>_xll.qlSimpleQuote(SUBSTITUTE(A63&amp;"_"&amp;C63,"/","_"),D63,0,FALSE,$B$4)</f>
        <v>EUR-EURIBOR-3M_BASIS_SWAP_BASIS_SPREAD_3M_6M_EUR_12Y#0000</v>
      </c>
      <c r="F63" t="str">
        <f>_xll.ohRangeRetrieveError(E63)</f>
        <v/>
      </c>
    </row>
    <row r="64" spans="1:6" x14ac:dyDescent="0.3">
      <c r="A64" t="s">
        <v>46</v>
      </c>
      <c r="B64" t="s">
        <v>61</v>
      </c>
      <c r="C64" t="s">
        <v>72</v>
      </c>
      <c r="D64">
        <v>4.973E-4</v>
      </c>
      <c r="E64" t="str">
        <f>_xll.qlSimpleQuote(SUBSTITUTE(A64&amp;"_"&amp;C64,"/","_"),D64,0,FALSE,$B$4)</f>
        <v>EUR-EURIBOR-3M_BASIS_SWAP_BASIS_SPREAD_3M_6M_EUR_15Y#0000</v>
      </c>
      <c r="F64" t="str">
        <f>_xll.ohRangeRetrieveError(E64)</f>
        <v/>
      </c>
    </row>
    <row r="65" spans="1:6" x14ac:dyDescent="0.3">
      <c r="A65" t="s">
        <v>46</v>
      </c>
      <c r="B65" t="s">
        <v>61</v>
      </c>
      <c r="C65" t="s">
        <v>73</v>
      </c>
      <c r="D65">
        <v>3.9429999999999999E-4</v>
      </c>
      <c r="E65" t="str">
        <f>_xll.qlSimpleQuote(SUBSTITUTE(A65&amp;"_"&amp;C65,"/","_"),D65,0,FALSE,$B$4)</f>
        <v>EUR-EURIBOR-3M_BASIS_SWAP_BASIS_SPREAD_3M_6M_EUR_20Y#0000</v>
      </c>
      <c r="F65" t="str">
        <f>_xll.ohRangeRetrieveError(E65)</f>
        <v/>
      </c>
    </row>
    <row r="66" spans="1:6" x14ac:dyDescent="0.3">
      <c r="A66" t="s">
        <v>46</v>
      </c>
      <c r="B66" t="s">
        <v>61</v>
      </c>
      <c r="C66" t="s">
        <v>74</v>
      </c>
      <c r="D66">
        <v>3.2909999999999998E-4</v>
      </c>
      <c r="E66" t="str">
        <f>_xll.qlSimpleQuote(SUBSTITUTE(A66&amp;"_"&amp;C66,"/","_"),D66,0,FALSE,$B$4)</f>
        <v>EUR-EURIBOR-3M_BASIS_SWAP_BASIS_SPREAD_3M_6M_EUR_25Y#0000</v>
      </c>
      <c r="F66" t="str">
        <f>_xll.ohRangeRetrieveError(E66)</f>
        <v/>
      </c>
    </row>
    <row r="67" spans="1:6" x14ac:dyDescent="0.3">
      <c r="A67" t="s">
        <v>46</v>
      </c>
      <c r="B67" t="s">
        <v>61</v>
      </c>
      <c r="C67" t="s">
        <v>75</v>
      </c>
      <c r="D67">
        <v>2.786E-4</v>
      </c>
      <c r="E67" t="str">
        <f>_xll.qlSimpleQuote(SUBSTITUTE(A67&amp;"_"&amp;C67,"/","_"),D67,0,FALSE,$B$4)</f>
        <v>EUR-EURIBOR-3M_BASIS_SWAP_BASIS_SPREAD_3M_6M_EUR_30Y#0000</v>
      </c>
      <c r="F67" t="str">
        <f>_xll.ohRangeRetrieveError(E67)</f>
        <v/>
      </c>
    </row>
    <row r="68" spans="1:6" x14ac:dyDescent="0.3">
      <c r="A68" t="s">
        <v>76</v>
      </c>
      <c r="B68" t="s">
        <v>10</v>
      </c>
      <c r="C68" t="s">
        <v>77</v>
      </c>
      <c r="D68">
        <v>-3.2499999999999999E-3</v>
      </c>
      <c r="E68" t="str">
        <f>_xll.qlSimpleQuote(SUBSTITUTE(A68&amp;"_"&amp;C68,"/","_"),D68,0,FALSE,$B$4)</f>
        <v>EUR-EURIBOR-6M_MM_RATE_EUR_2D_6M#0000</v>
      </c>
      <c r="F68" t="str">
        <f>_xll.ohRangeRetrieveError(E68)</f>
        <v/>
      </c>
    </row>
    <row r="69" spans="1:6" x14ac:dyDescent="0.3">
      <c r="A69" t="s">
        <v>76</v>
      </c>
      <c r="B69" t="s">
        <v>48</v>
      </c>
      <c r="C69" t="s">
        <v>78</v>
      </c>
      <c r="D69">
        <v>-3.32E-3</v>
      </c>
      <c r="E69" t="str">
        <f>_xll.qlSimpleQuote(SUBSTITUTE(A69&amp;"_"&amp;C69,"/","_"),D69,0,FALSE,$B$4)</f>
        <v>EUR-EURIBOR-6M_FRA_RATE_EUR_1M_6M#0000</v>
      </c>
      <c r="F69" t="str">
        <f>_xll.ohRangeRetrieveError(E69)</f>
        <v/>
      </c>
    </row>
    <row r="70" spans="1:6" x14ac:dyDescent="0.3">
      <c r="A70" t="s">
        <v>76</v>
      </c>
      <c r="B70" t="s">
        <v>48</v>
      </c>
      <c r="C70" t="s">
        <v>79</v>
      </c>
      <c r="D70">
        <v>-3.29E-3</v>
      </c>
      <c r="E70" t="str">
        <f>_xll.qlSimpleQuote(SUBSTITUTE(A70&amp;"_"&amp;C70,"/","_"),D70,0,FALSE,$B$4)</f>
        <v>EUR-EURIBOR-6M_FRA_RATE_EUR_2M_6M#0000</v>
      </c>
      <c r="F70" t="str">
        <f>_xll.ohRangeRetrieveError(E70)</f>
        <v/>
      </c>
    </row>
    <row r="71" spans="1:6" x14ac:dyDescent="0.3">
      <c r="A71" t="s">
        <v>76</v>
      </c>
      <c r="B71" t="s">
        <v>48</v>
      </c>
      <c r="C71" t="s">
        <v>80</v>
      </c>
      <c r="D71">
        <v>-3.3E-3</v>
      </c>
      <c r="E71" t="str">
        <f>_xll.qlSimpleQuote(SUBSTITUTE(A71&amp;"_"&amp;C71,"/","_"),D71,0,FALSE,$B$4)</f>
        <v>EUR-EURIBOR-6M_FRA_RATE_EUR_3M_6M#0000</v>
      </c>
      <c r="F71" t="str">
        <f>_xll.ohRangeRetrieveError(E71)</f>
        <v/>
      </c>
    </row>
    <row r="72" spans="1:6" x14ac:dyDescent="0.3">
      <c r="A72" t="s">
        <v>76</v>
      </c>
      <c r="B72" t="s">
        <v>48</v>
      </c>
      <c r="C72" t="s">
        <v>81</v>
      </c>
      <c r="D72">
        <v>-3.2799999999999999E-3</v>
      </c>
      <c r="E72" t="str">
        <f>_xll.qlSimpleQuote(SUBSTITUTE(A72&amp;"_"&amp;C72,"/","_"),D72,0,FALSE,$B$4)</f>
        <v>EUR-EURIBOR-6M_FRA_RATE_EUR_4M_6M#0000</v>
      </c>
      <c r="F72" t="str">
        <f>_xll.ohRangeRetrieveError(E72)</f>
        <v/>
      </c>
    </row>
    <row r="73" spans="1:6" x14ac:dyDescent="0.3">
      <c r="A73" t="s">
        <v>76</v>
      </c>
      <c r="B73" t="s">
        <v>48</v>
      </c>
      <c r="C73" t="s">
        <v>82</v>
      </c>
      <c r="D73">
        <v>-3.2000000000000002E-3</v>
      </c>
      <c r="E73" t="str">
        <f>_xll.qlSimpleQuote(SUBSTITUTE(A73&amp;"_"&amp;C73,"/","_"),D73,0,FALSE,$B$4)</f>
        <v>EUR-EURIBOR-6M_FRA_RATE_EUR_5M_6M#0000</v>
      </c>
      <c r="F73" t="str">
        <f>_xll.ohRangeRetrieveError(E73)</f>
        <v/>
      </c>
    </row>
    <row r="74" spans="1:6" x14ac:dyDescent="0.3">
      <c r="A74" t="s">
        <v>76</v>
      </c>
      <c r="B74" t="s">
        <v>48</v>
      </c>
      <c r="C74" t="s">
        <v>83</v>
      </c>
      <c r="D74">
        <v>-3.2000000000000002E-3</v>
      </c>
      <c r="E74" t="str">
        <f>_xll.qlSimpleQuote(SUBSTITUTE(A74&amp;"_"&amp;C74,"/","_"),D74,0,FALSE,$B$4)</f>
        <v>EUR-EURIBOR-6M_FRA_RATE_EUR_6M_6M#0000</v>
      </c>
      <c r="F74" t="str">
        <f>_xll.ohRangeRetrieveError(E74)</f>
        <v/>
      </c>
    </row>
    <row r="75" spans="1:6" x14ac:dyDescent="0.3">
      <c r="A75" t="s">
        <v>76</v>
      </c>
      <c r="B75" t="s">
        <v>48</v>
      </c>
      <c r="C75" t="s">
        <v>84</v>
      </c>
      <c r="D75">
        <v>-3.0999999999999999E-3</v>
      </c>
      <c r="E75" t="str">
        <f>_xll.qlSimpleQuote(SUBSTITUTE(A75&amp;"_"&amp;C75,"/","_"),D75,0,FALSE,$B$4)</f>
        <v>EUR-EURIBOR-6M_FRA_RATE_EUR_9M_6M#0000</v>
      </c>
      <c r="F75" t="str">
        <f>_xll.ohRangeRetrieveError(E75)</f>
        <v/>
      </c>
    </row>
    <row r="76" spans="1:6" x14ac:dyDescent="0.3">
      <c r="A76" t="s">
        <v>76</v>
      </c>
      <c r="B76" t="s">
        <v>48</v>
      </c>
      <c r="C76" t="s">
        <v>85</v>
      </c>
      <c r="D76">
        <v>-2.8999999999999998E-3</v>
      </c>
      <c r="E76" t="str">
        <f>_xll.qlSimpleQuote(SUBSTITUTE(A76&amp;"_"&amp;C76,"/","_"),D76,0,FALSE,$B$4)</f>
        <v>EUR-EURIBOR-6M_FRA_RATE_EUR_12M_6M#0000</v>
      </c>
      <c r="F76" t="str">
        <f>_xll.ohRangeRetrieveError(E76)</f>
        <v/>
      </c>
    </row>
    <row r="77" spans="1:6" x14ac:dyDescent="0.3">
      <c r="A77" t="s">
        <v>76</v>
      </c>
      <c r="B77" t="s">
        <v>86</v>
      </c>
      <c r="C77" t="s">
        <v>87</v>
      </c>
      <c r="D77">
        <v>-3.0119999999999999E-3</v>
      </c>
      <c r="E77" t="str">
        <f>_xll.qlSimpleQuote(SUBSTITUTE(A77&amp;"_"&amp;C77,"/","_"),D77,0,FALSE,$B$4)</f>
        <v>EUR-EURIBOR-6M_IR_SWAP_RATE_EUR_2D_6M_2Y#0000</v>
      </c>
      <c r="F77" t="str">
        <f>_xll.ohRangeRetrieveError(E77)</f>
        <v/>
      </c>
    </row>
    <row r="78" spans="1:6" x14ac:dyDescent="0.3">
      <c r="A78" t="s">
        <v>76</v>
      </c>
      <c r="B78" t="s">
        <v>86</v>
      </c>
      <c r="C78" t="s">
        <v>88</v>
      </c>
      <c r="D78">
        <v>-2.415E-3</v>
      </c>
      <c r="E78" t="str">
        <f>_xll.qlSimpleQuote(SUBSTITUTE(A78&amp;"_"&amp;C78,"/","_"),D78,0,FALSE,$B$4)</f>
        <v>EUR-EURIBOR-6M_IR_SWAP_RATE_EUR_2D_6M_3Y#0000</v>
      </c>
      <c r="F78" t="str">
        <f>_xll.ohRangeRetrieveError(E78)</f>
        <v/>
      </c>
    </row>
    <row r="79" spans="1:6" x14ac:dyDescent="0.3">
      <c r="A79" t="s">
        <v>76</v>
      </c>
      <c r="B79" t="s">
        <v>86</v>
      </c>
      <c r="C79" t="s">
        <v>89</v>
      </c>
      <c r="D79">
        <v>-1.91E-3</v>
      </c>
      <c r="E79" t="str">
        <f>_xll.qlSimpleQuote(SUBSTITUTE(A79&amp;"_"&amp;C79,"/","_"),D79,0,FALSE,$B$4)</f>
        <v>EUR-EURIBOR-6M_IR_SWAP_RATE_EUR_2D_6M_4Y#0000</v>
      </c>
      <c r="F79" t="str">
        <f>_xll.ohRangeRetrieveError(E79)</f>
        <v/>
      </c>
    </row>
    <row r="80" spans="1:6" x14ac:dyDescent="0.3">
      <c r="A80" t="s">
        <v>76</v>
      </c>
      <c r="B80" t="s">
        <v>86</v>
      </c>
      <c r="C80" t="s">
        <v>90</v>
      </c>
      <c r="D80">
        <v>-1.2999999999999999E-3</v>
      </c>
      <c r="E80" t="str">
        <f>_xll.qlSimpleQuote(SUBSTITUTE(A80&amp;"_"&amp;C80,"/","_"),D80,0,FALSE,$B$4)</f>
        <v>EUR-EURIBOR-6M_IR_SWAP_RATE_EUR_2D_6M_5Y#0000</v>
      </c>
      <c r="F80" t="str">
        <f>_xll.ohRangeRetrieveError(E80)</f>
        <v/>
      </c>
    </row>
    <row r="81" spans="1:6" x14ac:dyDescent="0.3">
      <c r="A81" t="s">
        <v>76</v>
      </c>
      <c r="B81" t="s">
        <v>86</v>
      </c>
      <c r="C81" t="s">
        <v>91</v>
      </c>
      <c r="D81">
        <v>-6.8000000000000005E-4</v>
      </c>
      <c r="E81" t="str">
        <f>_xll.qlSimpleQuote(SUBSTITUTE(A81&amp;"_"&amp;C81,"/","_"),D81,0,FALSE,$B$4)</f>
        <v>EUR-EURIBOR-6M_IR_SWAP_RATE_EUR_2D_6M_6Y#0000</v>
      </c>
      <c r="F81" t="str">
        <f>_xll.ohRangeRetrieveError(E81)</f>
        <v/>
      </c>
    </row>
    <row r="82" spans="1:6" x14ac:dyDescent="0.3">
      <c r="A82" t="s">
        <v>76</v>
      </c>
      <c r="B82" t="s">
        <v>86</v>
      </c>
      <c r="C82" t="s">
        <v>92</v>
      </c>
      <c r="D82">
        <v>1.0399999999999999E-4</v>
      </c>
      <c r="E82" t="str">
        <f>_xll.qlSimpleQuote(SUBSTITUTE(A82&amp;"_"&amp;C82,"/","_"),D82,0,FALSE,$B$4)</f>
        <v>EUR-EURIBOR-6M_IR_SWAP_RATE_EUR_2D_6M_7Y#0000</v>
      </c>
      <c r="F82" t="str">
        <f>_xll.ohRangeRetrieveError(E82)</f>
        <v/>
      </c>
    </row>
    <row r="83" spans="1:6" x14ac:dyDescent="0.3">
      <c r="A83" t="s">
        <v>76</v>
      </c>
      <c r="B83" t="s">
        <v>86</v>
      </c>
      <c r="C83" t="s">
        <v>93</v>
      </c>
      <c r="D83">
        <v>6.2E-4</v>
      </c>
      <c r="E83" t="str">
        <f>_xll.qlSimpleQuote(SUBSTITUTE(A83&amp;"_"&amp;C83,"/","_"),D83,0,FALSE,$B$4)</f>
        <v>EUR-EURIBOR-6M_IR_SWAP_RATE_EUR_2D_6M_8Y#0000</v>
      </c>
      <c r="F83" t="str">
        <f>_xll.ohRangeRetrieveError(E83)</f>
        <v/>
      </c>
    </row>
    <row r="84" spans="1:6" x14ac:dyDescent="0.3">
      <c r="A84" t="s">
        <v>76</v>
      </c>
      <c r="B84" t="s">
        <v>86</v>
      </c>
      <c r="C84" t="s">
        <v>94</v>
      </c>
      <c r="D84">
        <v>1.3960000000000001E-3</v>
      </c>
      <c r="E84" t="str">
        <f>_xll.qlSimpleQuote(SUBSTITUTE(A84&amp;"_"&amp;C84,"/","_"),D84,0,FALSE,$B$4)</f>
        <v>EUR-EURIBOR-6M_IR_SWAP_RATE_EUR_2D_6M_9Y#0000</v>
      </c>
      <c r="F84" t="str">
        <f>_xll.ohRangeRetrieveError(E84)</f>
        <v/>
      </c>
    </row>
    <row r="85" spans="1:6" x14ac:dyDescent="0.3">
      <c r="A85" t="s">
        <v>76</v>
      </c>
      <c r="B85" t="s">
        <v>86</v>
      </c>
      <c r="C85" t="s">
        <v>95</v>
      </c>
      <c r="D85">
        <v>2.016E-3</v>
      </c>
      <c r="E85" t="str">
        <f>_xll.qlSimpleQuote(SUBSTITUTE(A85&amp;"_"&amp;C85,"/","_"),D85,0,FALSE,$B$4)</f>
        <v>EUR-EURIBOR-6M_IR_SWAP_RATE_EUR_2D_6M_10Y#0000</v>
      </c>
      <c r="F85" t="str">
        <f>_xll.ohRangeRetrieveError(E85)</f>
        <v/>
      </c>
    </row>
    <row r="86" spans="1:6" x14ac:dyDescent="0.3">
      <c r="A86" t="s">
        <v>76</v>
      </c>
      <c r="B86" t="s">
        <v>86</v>
      </c>
      <c r="C86" t="s">
        <v>96</v>
      </c>
      <c r="D86">
        <v>3.1689999999999999E-3</v>
      </c>
      <c r="E86" t="str">
        <f>_xll.qlSimpleQuote(SUBSTITUTE(A86&amp;"_"&amp;C86,"/","_"),D86,0,FALSE,$B$4)</f>
        <v>EUR-EURIBOR-6M_IR_SWAP_RATE_EUR_2D_6M_12Y#0000</v>
      </c>
      <c r="F86" t="str">
        <f>_xll.ohRangeRetrieveError(E86)</f>
        <v/>
      </c>
    </row>
    <row r="87" spans="1:6" x14ac:dyDescent="0.3">
      <c r="A87" t="s">
        <v>76</v>
      </c>
      <c r="B87" t="s">
        <v>86</v>
      </c>
      <c r="C87" t="s">
        <v>97</v>
      </c>
      <c r="D87">
        <v>4.6010000000000001E-3</v>
      </c>
      <c r="E87" t="str">
        <f>_xll.qlSimpleQuote(SUBSTITUTE(A87&amp;"_"&amp;C87,"/","_"),D87,0,FALSE,$B$4)</f>
        <v>EUR-EURIBOR-6M_IR_SWAP_RATE_EUR_2D_6M_15Y#0000</v>
      </c>
      <c r="F87" t="str">
        <f>_xll.ohRangeRetrieveError(E87)</f>
        <v/>
      </c>
    </row>
    <row r="88" spans="1:6" x14ac:dyDescent="0.3">
      <c r="A88" t="s">
        <v>76</v>
      </c>
      <c r="B88" t="s">
        <v>86</v>
      </c>
      <c r="C88" t="s">
        <v>98</v>
      </c>
      <c r="D88">
        <v>5.8989999999999997E-3</v>
      </c>
      <c r="E88" t="str">
        <f>_xll.qlSimpleQuote(SUBSTITUTE(A88&amp;"_"&amp;C88,"/","_"),D88,0,FALSE,$B$4)</f>
        <v>EUR-EURIBOR-6M_IR_SWAP_RATE_EUR_2D_6M_20Y#0000</v>
      </c>
      <c r="F88" t="str">
        <f>_xll.ohRangeRetrieveError(E88)</f>
        <v/>
      </c>
    </row>
    <row r="89" spans="1:6" x14ac:dyDescent="0.3">
      <c r="A89" t="s">
        <v>76</v>
      </c>
      <c r="B89" t="s">
        <v>86</v>
      </c>
      <c r="C89" t="s">
        <v>99</v>
      </c>
      <c r="D89">
        <v>6.2960000000000004E-3</v>
      </c>
      <c r="E89" t="str">
        <f>_xll.qlSimpleQuote(SUBSTITUTE(A89&amp;"_"&amp;C89,"/","_"),D89,0,FALSE,$B$4)</f>
        <v>EUR-EURIBOR-6M_IR_SWAP_RATE_EUR_2D_6M_25Y#0000</v>
      </c>
      <c r="F89" t="str">
        <f>_xll.ohRangeRetrieveError(E89)</f>
        <v/>
      </c>
    </row>
    <row r="90" spans="1:6" x14ac:dyDescent="0.3">
      <c r="A90" t="s">
        <v>76</v>
      </c>
      <c r="B90" t="s">
        <v>86</v>
      </c>
      <c r="C90" t="s">
        <v>100</v>
      </c>
      <c r="D90">
        <v>6.2389999999999998E-3</v>
      </c>
      <c r="E90" t="str">
        <f>_xll.qlSimpleQuote(SUBSTITUTE(A90&amp;"_"&amp;C90,"/","_"),D90,0,FALSE,$B$4)</f>
        <v>EUR-EURIBOR-6M_IR_SWAP_RATE_EUR_2D_6M_30Y#0000</v>
      </c>
      <c r="F90" t="str">
        <f>_xll.ohRangeRetrieveError(E90)</f>
        <v/>
      </c>
    </row>
    <row r="91" spans="1:6" x14ac:dyDescent="0.3">
      <c r="A91" t="s">
        <v>76</v>
      </c>
      <c r="B91" t="s">
        <v>86</v>
      </c>
      <c r="C91" t="s">
        <v>101</v>
      </c>
      <c r="D91">
        <v>5.7609999999999996E-3</v>
      </c>
      <c r="E91" t="str">
        <f>_xll.qlSimpleQuote(SUBSTITUTE(A91&amp;"_"&amp;C91,"/","_"),D91,0,FALSE,$B$4)</f>
        <v>EUR-EURIBOR-6M_IR_SWAP_RATE_EUR_2D_6M_40Y#0000</v>
      </c>
      <c r="F91" t="str">
        <f>_xll.ohRangeRetrieveError(E91)</f>
        <v/>
      </c>
    </row>
    <row r="92" spans="1:6" x14ac:dyDescent="0.3">
      <c r="A92" t="s">
        <v>76</v>
      </c>
      <c r="B92" t="s">
        <v>86</v>
      </c>
      <c r="C92" t="s">
        <v>102</v>
      </c>
      <c r="D92">
        <v>5.1590000000000004E-3</v>
      </c>
      <c r="E92" t="str">
        <f>_xll.qlSimpleQuote(SUBSTITUTE(A92&amp;"_"&amp;C92,"/","_"),D92,0,FALSE,$B$4)</f>
        <v>EUR-EURIBOR-6M_IR_SWAP_RATE_EUR_2D_6M_50Y#0000</v>
      </c>
      <c r="F92" t="str">
        <f>_xll.ohRangeRetrieveError(E92)</f>
        <v/>
      </c>
    </row>
    <row r="93" spans="1:6" x14ac:dyDescent="0.3">
      <c r="A93" t="s">
        <v>103</v>
      </c>
      <c r="B93" t="s">
        <v>104</v>
      </c>
      <c r="C93" t="s">
        <v>105</v>
      </c>
      <c r="D93">
        <v>1.1198999999999999</v>
      </c>
      <c r="E93" t="str">
        <f>_xll.qlSimpleQuote(SUBSTITUTE(A93&amp;"_"&amp;C93,"/","_"),D93,0,FALSE,$B$4)</f>
        <v>EUR-IN-USD_FX_RATE_EUR_USD#0000</v>
      </c>
      <c r="F93" t="str">
        <f>_xll.ohRangeRetrieveError(E93)</f>
        <v/>
      </c>
    </row>
    <row r="94" spans="1:6" x14ac:dyDescent="0.3">
      <c r="A94" t="s">
        <v>103</v>
      </c>
      <c r="B94" t="s">
        <v>104</v>
      </c>
      <c r="C94" t="s">
        <v>106</v>
      </c>
      <c r="D94">
        <v>4.5999999999999996</v>
      </c>
      <c r="E94" t="str">
        <f>_xll.qlSimpleQuote(SUBSTITUTE(A94&amp;"_"&amp;C94,"/","_"),D94,0,FALSE,$B$4)</f>
        <v>EUR-IN-USD_FXFWD_RATE_EUR_USD_1W#0000</v>
      </c>
      <c r="F94" t="str">
        <f>_xll.ohRangeRetrieveError(E94)</f>
        <v/>
      </c>
    </row>
    <row r="95" spans="1:6" x14ac:dyDescent="0.3">
      <c r="A95" t="s">
        <v>103</v>
      </c>
      <c r="B95" t="s">
        <v>104</v>
      </c>
      <c r="C95" t="s">
        <v>107</v>
      </c>
      <c r="D95">
        <v>9.3699999999999992</v>
      </c>
      <c r="E95" t="str">
        <f>_xll.qlSimpleQuote(SUBSTITUTE(A95&amp;"_"&amp;C95,"/","_"),D95,0,FALSE,$B$4)</f>
        <v>EUR-IN-USD_FXFWD_RATE_EUR_USD_2W#0000</v>
      </c>
      <c r="F95" t="str">
        <f>_xll.ohRangeRetrieveError(E95)</f>
        <v/>
      </c>
    </row>
    <row r="96" spans="1:6" x14ac:dyDescent="0.3">
      <c r="A96" t="s">
        <v>103</v>
      </c>
      <c r="B96" t="s">
        <v>104</v>
      </c>
      <c r="C96" t="s">
        <v>108</v>
      </c>
      <c r="D96">
        <v>14.11</v>
      </c>
      <c r="E96" t="str">
        <f>_xll.qlSimpleQuote(SUBSTITUTE(A96&amp;"_"&amp;C96,"/","_"),D96,0,FALSE,$B$4)</f>
        <v>EUR-IN-USD_FXFWD_RATE_EUR_USD_3W#0000</v>
      </c>
      <c r="F96" t="str">
        <f>_xll.ohRangeRetrieveError(E96)</f>
        <v/>
      </c>
    </row>
    <row r="97" spans="1:6" x14ac:dyDescent="0.3">
      <c r="A97" t="s">
        <v>103</v>
      </c>
      <c r="B97" t="s">
        <v>104</v>
      </c>
      <c r="C97" t="s">
        <v>109</v>
      </c>
      <c r="D97">
        <v>21.97</v>
      </c>
      <c r="E97" t="str">
        <f>_xll.qlSimpleQuote(SUBSTITUTE(A97&amp;"_"&amp;C97,"/","_"),D97,0,FALSE,$B$4)</f>
        <v>EUR-IN-USD_FXFWD_RATE_EUR_USD_1M#0000</v>
      </c>
      <c r="F97" t="str">
        <f>_xll.ohRangeRetrieveError(E97)</f>
        <v/>
      </c>
    </row>
    <row r="98" spans="1:6" x14ac:dyDescent="0.3">
      <c r="A98" t="s">
        <v>103</v>
      </c>
      <c r="B98" t="s">
        <v>104</v>
      </c>
      <c r="C98" t="s">
        <v>110</v>
      </c>
      <c r="D98">
        <v>41.32</v>
      </c>
      <c r="E98" t="str">
        <f>_xll.qlSimpleQuote(SUBSTITUTE(A98&amp;"_"&amp;C98,"/","_"),D98,0,FALSE,$B$4)</f>
        <v>EUR-IN-USD_FXFWD_RATE_EUR_USD_2M#0000</v>
      </c>
      <c r="F98" t="str">
        <f>_xll.ohRangeRetrieveError(E98)</f>
        <v/>
      </c>
    </row>
    <row r="99" spans="1:6" x14ac:dyDescent="0.3">
      <c r="A99" t="s">
        <v>103</v>
      </c>
      <c r="B99" t="s">
        <v>104</v>
      </c>
      <c r="C99" t="s">
        <v>111</v>
      </c>
      <c r="D99">
        <v>63.3</v>
      </c>
      <c r="E99" t="str">
        <f>_xll.qlSimpleQuote(SUBSTITUTE(A99&amp;"_"&amp;C99,"/","_"),D99,0,FALSE,$B$4)</f>
        <v>EUR-IN-USD_FXFWD_RATE_EUR_USD_3M#0000</v>
      </c>
      <c r="F99" t="str">
        <f>_xll.ohRangeRetrieveError(E99)</f>
        <v/>
      </c>
    </row>
    <row r="100" spans="1:6" x14ac:dyDescent="0.3">
      <c r="A100" t="s">
        <v>103</v>
      </c>
      <c r="B100" t="s">
        <v>104</v>
      </c>
      <c r="C100" t="s">
        <v>112</v>
      </c>
      <c r="D100">
        <v>85.45</v>
      </c>
      <c r="E100" t="str">
        <f>_xll.qlSimpleQuote(SUBSTITUTE(A100&amp;"_"&amp;C100,"/","_"),D100,0,FALSE,$B$4)</f>
        <v>EUR-IN-USD_FXFWD_RATE_EUR_USD_4M#0000</v>
      </c>
      <c r="F100" t="str">
        <f>_xll.ohRangeRetrieveError(E100)</f>
        <v/>
      </c>
    </row>
    <row r="101" spans="1:6" x14ac:dyDescent="0.3">
      <c r="A101" t="s">
        <v>103</v>
      </c>
      <c r="B101" t="s">
        <v>104</v>
      </c>
      <c r="C101" t="s">
        <v>113</v>
      </c>
      <c r="D101">
        <v>106.13</v>
      </c>
      <c r="E101" t="str">
        <f>_xll.qlSimpleQuote(SUBSTITUTE(A101&amp;"_"&amp;C101,"/","_"),D101,0,FALSE,$B$4)</f>
        <v>EUR-IN-USD_FXFWD_RATE_EUR_USD_5M#0000</v>
      </c>
      <c r="F101" t="str">
        <f>_xll.ohRangeRetrieveError(E101)</f>
        <v/>
      </c>
    </row>
    <row r="102" spans="1:6" x14ac:dyDescent="0.3">
      <c r="A102" t="s">
        <v>103</v>
      </c>
      <c r="B102" t="s">
        <v>104</v>
      </c>
      <c r="C102" t="s">
        <v>114</v>
      </c>
      <c r="D102">
        <v>125.72</v>
      </c>
      <c r="E102" t="str">
        <f>_xll.qlSimpleQuote(SUBSTITUTE(A102&amp;"_"&amp;C102,"/","_"),D102,0,FALSE,$B$4)</f>
        <v>EUR-IN-USD_FXFWD_RATE_EUR_USD_6M#0000</v>
      </c>
      <c r="F102" t="str">
        <f>_xll.ohRangeRetrieveError(E102)</f>
        <v/>
      </c>
    </row>
    <row r="103" spans="1:6" x14ac:dyDescent="0.3">
      <c r="A103" t="s">
        <v>103</v>
      </c>
      <c r="B103" t="s">
        <v>104</v>
      </c>
      <c r="C103" t="s">
        <v>115</v>
      </c>
      <c r="D103">
        <v>148.05000000000001</v>
      </c>
      <c r="E103" t="str">
        <f>_xll.qlSimpleQuote(SUBSTITUTE(A103&amp;"_"&amp;C103,"/","_"),D103,0,FALSE,$B$4)</f>
        <v>EUR-IN-USD_FXFWD_RATE_EUR_USD_7M#0000</v>
      </c>
      <c r="F103" t="str">
        <f>_xll.ohRangeRetrieveError(E103)</f>
        <v/>
      </c>
    </row>
    <row r="104" spans="1:6" x14ac:dyDescent="0.3">
      <c r="A104" t="s">
        <v>103</v>
      </c>
      <c r="B104" t="s">
        <v>104</v>
      </c>
      <c r="C104" t="s">
        <v>116</v>
      </c>
      <c r="D104">
        <v>168.98</v>
      </c>
      <c r="E104" t="str">
        <f>_xll.qlSimpleQuote(SUBSTITUTE(A104&amp;"_"&amp;C104,"/","_"),D104,0,FALSE,$B$4)</f>
        <v>EUR-IN-USD_FXFWD_RATE_EUR_USD_8M#0000</v>
      </c>
      <c r="F104" t="str">
        <f>_xll.ohRangeRetrieveError(E104)</f>
        <v/>
      </c>
    </row>
    <row r="105" spans="1:6" x14ac:dyDescent="0.3">
      <c r="A105" t="s">
        <v>103</v>
      </c>
      <c r="B105" t="s">
        <v>104</v>
      </c>
      <c r="C105" t="s">
        <v>117</v>
      </c>
      <c r="D105">
        <v>187.74</v>
      </c>
      <c r="E105" t="str">
        <f>_xll.qlSimpleQuote(SUBSTITUTE(A105&amp;"_"&amp;C105,"/","_"),D105,0,FALSE,$B$4)</f>
        <v>EUR-IN-USD_FXFWD_RATE_EUR_USD_9M#0000</v>
      </c>
      <c r="F105" t="str">
        <f>_xll.ohRangeRetrieveError(E105)</f>
        <v/>
      </c>
    </row>
    <row r="106" spans="1:6" x14ac:dyDescent="0.3">
      <c r="A106" t="s">
        <v>103</v>
      </c>
      <c r="B106" t="s">
        <v>104</v>
      </c>
      <c r="C106" t="s">
        <v>118</v>
      </c>
      <c r="D106">
        <v>209.9</v>
      </c>
      <c r="E106" t="str">
        <f>_xll.qlSimpleQuote(SUBSTITUTE(A106&amp;"_"&amp;C106,"/","_"),D106,0,FALSE,$B$4)</f>
        <v>EUR-IN-USD_FXFWD_RATE_EUR_USD_10M#0000</v>
      </c>
      <c r="F106" t="str">
        <f>_xll.ohRangeRetrieveError(E106)</f>
        <v/>
      </c>
    </row>
    <row r="107" spans="1:6" x14ac:dyDescent="0.3">
      <c r="A107" t="s">
        <v>103</v>
      </c>
      <c r="B107" t="s">
        <v>104</v>
      </c>
      <c r="C107" t="s">
        <v>119</v>
      </c>
      <c r="D107">
        <v>230.9</v>
      </c>
      <c r="E107" t="str">
        <f>_xll.qlSimpleQuote(SUBSTITUTE(A107&amp;"_"&amp;C107,"/","_"),D107,0,FALSE,$B$4)</f>
        <v>EUR-IN-USD_FXFWD_RATE_EUR_USD_11M#0000</v>
      </c>
      <c r="F107" t="str">
        <f>_xll.ohRangeRetrieveError(E107)</f>
        <v/>
      </c>
    </row>
    <row r="108" spans="1:6" x14ac:dyDescent="0.3">
      <c r="A108" t="s">
        <v>103</v>
      </c>
      <c r="B108" t="s">
        <v>104</v>
      </c>
      <c r="C108" t="s">
        <v>120</v>
      </c>
      <c r="D108">
        <v>252.82</v>
      </c>
      <c r="E108" t="str">
        <f>_xll.qlSimpleQuote(SUBSTITUTE(A108&amp;"_"&amp;C108,"/","_"),D108,0,FALSE,$B$4)</f>
        <v>EUR-IN-USD_FXFWD_RATE_EUR_USD_1Y#0000</v>
      </c>
      <c r="F108" t="str">
        <f>_xll.ohRangeRetrieveError(E108)</f>
        <v/>
      </c>
    </row>
    <row r="109" spans="1:6" x14ac:dyDescent="0.3">
      <c r="A109" t="s">
        <v>103</v>
      </c>
      <c r="B109" t="s">
        <v>104</v>
      </c>
      <c r="C109" t="s">
        <v>121</v>
      </c>
      <c r="D109">
        <v>312.29000000000002</v>
      </c>
      <c r="E109" t="str">
        <f>_xll.qlSimpleQuote(SUBSTITUTE(A109&amp;"_"&amp;C109,"/","_"),D109,0,FALSE,$B$4)</f>
        <v>EUR-IN-USD_FXFWD_RATE_EUR_USD_15M#0000</v>
      </c>
      <c r="F109" t="str">
        <f>_xll.ohRangeRetrieveError(E109)</f>
        <v/>
      </c>
    </row>
    <row r="110" spans="1:6" x14ac:dyDescent="0.3">
      <c r="A110" t="s">
        <v>103</v>
      </c>
      <c r="B110" t="s">
        <v>104</v>
      </c>
      <c r="C110" t="s">
        <v>122</v>
      </c>
      <c r="D110">
        <v>366.87</v>
      </c>
      <c r="E110" t="str">
        <f>_xll.qlSimpleQuote(SUBSTITUTE(A110&amp;"_"&amp;C110,"/","_"),D110,0,FALSE,$B$4)</f>
        <v>EUR-IN-USD_FXFWD_RATE_EUR_USD_18M#0000</v>
      </c>
      <c r="F110" t="str">
        <f>_xll.ohRangeRetrieveError(E110)</f>
        <v/>
      </c>
    </row>
    <row r="111" spans="1:6" x14ac:dyDescent="0.3">
      <c r="A111" t="s">
        <v>103</v>
      </c>
      <c r="B111" t="s">
        <v>104</v>
      </c>
      <c r="C111" t="s">
        <v>123</v>
      </c>
      <c r="D111">
        <v>427.3</v>
      </c>
      <c r="E111" t="str">
        <f>_xll.qlSimpleQuote(SUBSTITUTE(A111&amp;"_"&amp;C111,"/","_"),D111,0,FALSE,$B$4)</f>
        <v>EUR-IN-USD_FXFWD_RATE_EUR_USD_21M#0000</v>
      </c>
      <c r="F111" t="str">
        <f>_xll.ohRangeRetrieveError(E111)</f>
        <v/>
      </c>
    </row>
    <row r="112" spans="1:6" x14ac:dyDescent="0.3">
      <c r="A112" t="s">
        <v>103</v>
      </c>
      <c r="B112" t="s">
        <v>124</v>
      </c>
      <c r="C112" t="s">
        <v>125</v>
      </c>
      <c r="D112">
        <v>-1.325E-3</v>
      </c>
      <c r="E112" t="str">
        <f>_xll.qlSimpleQuote(SUBSTITUTE(A112&amp;"_"&amp;C112,"/","_"),D112,0,FALSE,$B$4)</f>
        <v>EUR-IN-USD_CC_BASIS_SWAP_BASIS_SPREAD_USD_3M_EUR_3M_2Y#0000</v>
      </c>
      <c r="F112" t="str">
        <f>_xll.ohRangeRetrieveError(E112)</f>
        <v/>
      </c>
    </row>
    <row r="113" spans="1:6" x14ac:dyDescent="0.3">
      <c r="A113" t="s">
        <v>103</v>
      </c>
      <c r="B113" t="s">
        <v>124</v>
      </c>
      <c r="C113" t="s">
        <v>126</v>
      </c>
      <c r="D113">
        <v>-1.4499999999999999E-3</v>
      </c>
      <c r="E113" t="str">
        <f>_xll.qlSimpleQuote(SUBSTITUTE(A113&amp;"_"&amp;C113,"/","_"),D113,0,FALSE,$B$4)</f>
        <v>EUR-IN-USD_CC_BASIS_SWAP_BASIS_SPREAD_USD_3M_EUR_3M_3Y#0000</v>
      </c>
      <c r="F113" t="str">
        <f>_xll.ohRangeRetrieveError(E113)</f>
        <v/>
      </c>
    </row>
    <row r="114" spans="1:6" x14ac:dyDescent="0.3">
      <c r="A114" t="s">
        <v>103</v>
      </c>
      <c r="B114" t="s">
        <v>124</v>
      </c>
      <c r="C114" t="s">
        <v>127</v>
      </c>
      <c r="D114">
        <v>-1.5375E-3</v>
      </c>
      <c r="E114" t="str">
        <f>_xll.qlSimpleQuote(SUBSTITUTE(A114&amp;"_"&amp;C114,"/","_"),D114,0,FALSE,$B$4)</f>
        <v>EUR-IN-USD_CC_BASIS_SWAP_BASIS_SPREAD_USD_3M_EUR_3M_4Y#0000</v>
      </c>
      <c r="F114" t="str">
        <f>_xll.ohRangeRetrieveError(E114)</f>
        <v/>
      </c>
    </row>
    <row r="115" spans="1:6" x14ac:dyDescent="0.3">
      <c r="A115" t="s">
        <v>103</v>
      </c>
      <c r="B115" t="s">
        <v>124</v>
      </c>
      <c r="C115" t="s">
        <v>128</v>
      </c>
      <c r="D115">
        <v>-1.6000000000000001E-3</v>
      </c>
      <c r="E115" t="str">
        <f>_xll.qlSimpleQuote(SUBSTITUTE(A115&amp;"_"&amp;C115,"/","_"),D115,0,FALSE,$B$4)</f>
        <v>EUR-IN-USD_CC_BASIS_SWAP_BASIS_SPREAD_USD_3M_EUR_3M_5Y#0000</v>
      </c>
      <c r="F115" t="str">
        <f>_xll.ohRangeRetrieveError(E115)</f>
        <v/>
      </c>
    </row>
    <row r="116" spans="1:6" x14ac:dyDescent="0.3">
      <c r="A116" t="s">
        <v>103</v>
      </c>
      <c r="B116" t="s">
        <v>124</v>
      </c>
      <c r="C116" t="s">
        <v>129</v>
      </c>
      <c r="D116">
        <v>-1.65E-3</v>
      </c>
      <c r="E116" t="str">
        <f>_xll.qlSimpleQuote(SUBSTITUTE(A116&amp;"_"&amp;C116,"/","_"),D116,0,FALSE,$B$4)</f>
        <v>EUR-IN-USD_CC_BASIS_SWAP_BASIS_SPREAD_USD_3M_EUR_3M_6Y#0000</v>
      </c>
      <c r="F116" t="str">
        <f>_xll.ohRangeRetrieveError(E116)</f>
        <v/>
      </c>
    </row>
    <row r="117" spans="1:6" x14ac:dyDescent="0.3">
      <c r="A117" t="s">
        <v>103</v>
      </c>
      <c r="B117" t="s">
        <v>124</v>
      </c>
      <c r="C117" t="s">
        <v>130</v>
      </c>
      <c r="D117">
        <v>-1.75E-3</v>
      </c>
      <c r="E117" t="str">
        <f>_xll.qlSimpleQuote(SUBSTITUTE(A117&amp;"_"&amp;C117,"/","_"),D117,0,FALSE,$B$4)</f>
        <v>EUR-IN-USD_CC_BASIS_SWAP_BASIS_SPREAD_USD_3M_EUR_3M_7Y#0000</v>
      </c>
      <c r="F117" t="str">
        <f>_xll.ohRangeRetrieveError(E117)</f>
        <v/>
      </c>
    </row>
    <row r="118" spans="1:6" x14ac:dyDescent="0.3">
      <c r="A118" t="s">
        <v>103</v>
      </c>
      <c r="B118" t="s">
        <v>124</v>
      </c>
      <c r="C118" t="s">
        <v>131</v>
      </c>
      <c r="D118">
        <v>-1.7875E-3</v>
      </c>
      <c r="E118" t="str">
        <f>_xll.qlSimpleQuote(SUBSTITUTE(A118&amp;"_"&amp;C118,"/","_"),D118,0,FALSE,$B$4)</f>
        <v>EUR-IN-USD_CC_BASIS_SWAP_BASIS_SPREAD_USD_3M_EUR_3M_8Y#0000</v>
      </c>
      <c r="F118" t="str">
        <f>_xll.ohRangeRetrieveError(E118)</f>
        <v/>
      </c>
    </row>
    <row r="119" spans="1:6" x14ac:dyDescent="0.3">
      <c r="A119" t="s">
        <v>103</v>
      </c>
      <c r="B119" t="s">
        <v>124</v>
      </c>
      <c r="C119" t="s">
        <v>132</v>
      </c>
      <c r="D119">
        <v>-1.825E-3</v>
      </c>
      <c r="E119" t="str">
        <f>_xll.qlSimpleQuote(SUBSTITUTE(A119&amp;"_"&amp;C119,"/","_"),D119,0,FALSE,$B$4)</f>
        <v>EUR-IN-USD_CC_BASIS_SWAP_BASIS_SPREAD_USD_3M_EUR_3M_9Y#0000</v>
      </c>
      <c r="F119" t="str">
        <f>_xll.ohRangeRetrieveError(E119)</f>
        <v/>
      </c>
    </row>
    <row r="120" spans="1:6" x14ac:dyDescent="0.3">
      <c r="A120" t="s">
        <v>103</v>
      </c>
      <c r="B120" t="s">
        <v>124</v>
      </c>
      <c r="C120" t="s">
        <v>133</v>
      </c>
      <c r="D120">
        <v>-1.8625E-3</v>
      </c>
      <c r="E120" t="str">
        <f>_xll.qlSimpleQuote(SUBSTITUTE(A120&amp;"_"&amp;C120,"/","_"),D120,0,FALSE,$B$4)</f>
        <v>EUR-IN-USD_CC_BASIS_SWAP_BASIS_SPREAD_USD_3M_EUR_3M_10Y#0000</v>
      </c>
      <c r="F120" t="str">
        <f>_xll.ohRangeRetrieveError(E120)</f>
        <v/>
      </c>
    </row>
    <row r="121" spans="1:6" x14ac:dyDescent="0.3">
      <c r="A121" t="s">
        <v>103</v>
      </c>
      <c r="B121" t="s">
        <v>124</v>
      </c>
      <c r="C121" t="s">
        <v>134</v>
      </c>
      <c r="D121">
        <v>-1.8374999999999999E-3</v>
      </c>
      <c r="E121" t="str">
        <f>_xll.qlSimpleQuote(SUBSTITUTE(A121&amp;"_"&amp;C121,"/","_"),D121,0,FALSE,$B$4)</f>
        <v>EUR-IN-USD_CC_BASIS_SWAP_BASIS_SPREAD_USD_3M_EUR_3M_12Y#0000</v>
      </c>
      <c r="F121" t="str">
        <f>_xll.ohRangeRetrieveError(E121)</f>
        <v/>
      </c>
    </row>
    <row r="122" spans="1:6" x14ac:dyDescent="0.3">
      <c r="A122" t="s">
        <v>103</v>
      </c>
      <c r="B122" t="s">
        <v>124</v>
      </c>
      <c r="C122" t="s">
        <v>135</v>
      </c>
      <c r="D122">
        <v>-1.6375000000000001E-3</v>
      </c>
      <c r="E122" t="str">
        <f>_xll.qlSimpleQuote(SUBSTITUTE(A122&amp;"_"&amp;C122,"/","_"),D122,0,FALSE,$B$4)</f>
        <v>EUR-IN-USD_CC_BASIS_SWAP_BASIS_SPREAD_USD_3M_EUR_3M_15Y#0000</v>
      </c>
      <c r="F122" t="str">
        <f>_xll.ohRangeRetrieveError(E122)</f>
        <v/>
      </c>
    </row>
    <row r="123" spans="1:6" x14ac:dyDescent="0.3">
      <c r="A123" t="s">
        <v>103</v>
      </c>
      <c r="B123" t="s">
        <v>124</v>
      </c>
      <c r="C123" t="s">
        <v>136</v>
      </c>
      <c r="D123">
        <v>-1.15E-3</v>
      </c>
      <c r="E123" t="str">
        <f>_xll.qlSimpleQuote(SUBSTITUTE(A123&amp;"_"&amp;C123,"/","_"),D123,0,FALSE,$B$4)</f>
        <v>EUR-IN-USD_CC_BASIS_SWAP_BASIS_SPREAD_USD_3M_EUR_3M_20Y#0000</v>
      </c>
      <c r="F123" t="str">
        <f>_xll.ohRangeRetrieveError(E123)</f>
        <v/>
      </c>
    </row>
    <row r="124" spans="1:6" x14ac:dyDescent="0.3">
      <c r="A124" t="s">
        <v>103</v>
      </c>
      <c r="B124" t="s">
        <v>124</v>
      </c>
      <c r="C124" t="s">
        <v>137</v>
      </c>
      <c r="D124">
        <v>-6.3750000000000005E-4</v>
      </c>
      <c r="E124" t="str">
        <f>_xll.qlSimpleQuote(SUBSTITUTE(A124&amp;"_"&amp;C124,"/","_"),D124,0,FALSE,$B$4)</f>
        <v>EUR-IN-USD_CC_BASIS_SWAP_BASIS_SPREAD_USD_3M_EUR_3M_25Y#0000</v>
      </c>
      <c r="F124" t="str">
        <f>_xll.ohRangeRetrieveError(E124)</f>
        <v/>
      </c>
    </row>
    <row r="125" spans="1:6" x14ac:dyDescent="0.3">
      <c r="A125" t="s">
        <v>103</v>
      </c>
      <c r="B125" t="s">
        <v>124</v>
      </c>
      <c r="C125" t="s">
        <v>138</v>
      </c>
      <c r="D125">
        <v>-2.2499999999999999E-4</v>
      </c>
      <c r="E125" t="str">
        <f>_xll.qlSimpleQuote(SUBSTITUTE(A125&amp;"_"&amp;C125,"/","_"),D125,0,FALSE,$B$4)</f>
        <v>EUR-IN-USD_CC_BASIS_SWAP_BASIS_SPREAD_USD_3M_EUR_3M_30Y#0000</v>
      </c>
      <c r="F125" t="str">
        <f>_xll.ohRangeRetrieveError(E125)</f>
        <v/>
      </c>
    </row>
    <row r="126" spans="1:6" x14ac:dyDescent="0.3">
      <c r="A126" t="s">
        <v>139</v>
      </c>
      <c r="B126" t="s">
        <v>10</v>
      </c>
      <c r="C126" t="s">
        <v>140</v>
      </c>
      <c r="D126">
        <v>1.55E-2</v>
      </c>
      <c r="E126" t="str">
        <f>_xll.qlSimpleQuote(SUBSTITUTE(A126&amp;"_"&amp;C126,"/","_"),D126,0,FALSE,$B$4)</f>
        <v>USD-FedFunds_MM_RATE_USD_0D_1D#0000</v>
      </c>
      <c r="F126" t="str">
        <f>_xll.ohRangeRetrieveError(E126)</f>
        <v/>
      </c>
    </row>
    <row r="127" spans="1:6" x14ac:dyDescent="0.3">
      <c r="A127" t="s">
        <v>139</v>
      </c>
      <c r="B127" t="s">
        <v>12</v>
      </c>
      <c r="C127" t="s">
        <v>141</v>
      </c>
      <c r="D127">
        <v>1.5468000000000001E-2</v>
      </c>
      <c r="E127" t="str">
        <f>_xll.qlSimpleQuote(SUBSTITUTE(A127&amp;"_"&amp;C127,"/","_"),D127,0,FALSE,$B$4)</f>
        <v>USD-FedFunds_IR_SWAP_RATE_USD_2D_1D_1W#0000</v>
      </c>
      <c r="F127" t="str">
        <f>_xll.ohRangeRetrieveError(E127)</f>
        <v/>
      </c>
    </row>
    <row r="128" spans="1:6" x14ac:dyDescent="0.3">
      <c r="A128" t="s">
        <v>139</v>
      </c>
      <c r="B128" t="s">
        <v>12</v>
      </c>
      <c r="C128" t="s">
        <v>142</v>
      </c>
      <c r="D128">
        <v>1.5492000000000001E-2</v>
      </c>
      <c r="E128" t="str">
        <f>_xll.qlSimpleQuote(SUBSTITUTE(A128&amp;"_"&amp;C128,"/","_"),D128,0,FALSE,$B$4)</f>
        <v>USD-FedFunds_IR_SWAP_RATE_USD_2D_1D_2W#0000</v>
      </c>
      <c r="F128" t="str">
        <f>_xll.ohRangeRetrieveError(E128)</f>
        <v/>
      </c>
    </row>
    <row r="129" spans="1:6" x14ac:dyDescent="0.3">
      <c r="A129" t="s">
        <v>139</v>
      </c>
      <c r="B129" t="s">
        <v>12</v>
      </c>
      <c r="C129" t="s">
        <v>143</v>
      </c>
      <c r="D129">
        <v>1.5487000000000001E-2</v>
      </c>
      <c r="E129" t="str">
        <f>_xll.qlSimpleQuote(SUBSTITUTE(A129&amp;"_"&amp;C129,"/","_"),D129,0,FALSE,$B$4)</f>
        <v>USD-FedFunds_IR_SWAP_RATE_USD_2D_1D_3W#0000</v>
      </c>
      <c r="F129" t="str">
        <f>_xll.ohRangeRetrieveError(E129)</f>
        <v/>
      </c>
    </row>
    <row r="130" spans="1:6" x14ac:dyDescent="0.3">
      <c r="A130" t="s">
        <v>139</v>
      </c>
      <c r="B130" t="s">
        <v>12</v>
      </c>
      <c r="C130" t="s">
        <v>144</v>
      </c>
      <c r="D130">
        <v>1.5533999999999999E-2</v>
      </c>
      <c r="E130" t="str">
        <f>_xll.qlSimpleQuote(SUBSTITUTE(A130&amp;"_"&amp;C130,"/","_"),D130,0,FALSE,$B$4)</f>
        <v>USD-FedFunds_IR_SWAP_RATE_USD_2D_1D_1M#0000</v>
      </c>
      <c r="F130" t="str">
        <f>_xll.ohRangeRetrieveError(E130)</f>
        <v/>
      </c>
    </row>
    <row r="131" spans="1:6" x14ac:dyDescent="0.3">
      <c r="A131" t="s">
        <v>139</v>
      </c>
      <c r="B131" t="s">
        <v>12</v>
      </c>
      <c r="C131" t="s">
        <v>145</v>
      </c>
      <c r="D131">
        <v>1.5606999999999999E-2</v>
      </c>
      <c r="E131" t="str">
        <f>_xll.qlSimpleQuote(SUBSTITUTE(A131&amp;"_"&amp;C131,"/","_"),D131,0,FALSE,$B$4)</f>
        <v>USD-FedFunds_IR_SWAP_RATE_USD_2D_1D_2M#0000</v>
      </c>
      <c r="F131" t="str">
        <f>_xll.ohRangeRetrieveError(E131)</f>
        <v/>
      </c>
    </row>
    <row r="132" spans="1:6" x14ac:dyDescent="0.3">
      <c r="A132" t="s">
        <v>139</v>
      </c>
      <c r="B132" t="s">
        <v>12</v>
      </c>
      <c r="C132" t="s">
        <v>146</v>
      </c>
      <c r="D132">
        <v>1.5615E-2</v>
      </c>
      <c r="E132" t="str">
        <f>_xll.qlSimpleQuote(SUBSTITUTE(A132&amp;"_"&amp;C132,"/","_"),D132,0,FALSE,$B$4)</f>
        <v>USD-FedFunds_IR_SWAP_RATE_USD_2D_1D_3M#0000</v>
      </c>
      <c r="F132" t="str">
        <f>_xll.ohRangeRetrieveError(E132)</f>
        <v/>
      </c>
    </row>
    <row r="133" spans="1:6" x14ac:dyDescent="0.3">
      <c r="A133" t="s">
        <v>139</v>
      </c>
      <c r="B133" t="s">
        <v>12</v>
      </c>
      <c r="C133" t="s">
        <v>147</v>
      </c>
      <c r="D133">
        <v>1.5594E-2</v>
      </c>
      <c r="E133" t="str">
        <f>_xll.qlSimpleQuote(SUBSTITUTE(A133&amp;"_"&amp;C133,"/","_"),D133,0,FALSE,$B$4)</f>
        <v>USD-FedFunds_IR_SWAP_RATE_USD_2D_1D_4M#0000</v>
      </c>
      <c r="F133" t="str">
        <f>_xll.ohRangeRetrieveError(E133)</f>
        <v/>
      </c>
    </row>
    <row r="134" spans="1:6" x14ac:dyDescent="0.3">
      <c r="A134" t="s">
        <v>139</v>
      </c>
      <c r="B134" t="s">
        <v>12</v>
      </c>
      <c r="C134" t="s">
        <v>148</v>
      </c>
      <c r="D134">
        <v>1.5566E-2</v>
      </c>
      <c r="E134" t="str">
        <f>_xll.qlSimpleQuote(SUBSTITUTE(A134&amp;"_"&amp;C134,"/","_"),D134,0,FALSE,$B$4)</f>
        <v>USD-FedFunds_IR_SWAP_RATE_USD_2D_1D_5M#0000</v>
      </c>
      <c r="F134" t="str">
        <f>_xll.ohRangeRetrieveError(E134)</f>
        <v/>
      </c>
    </row>
    <row r="135" spans="1:6" x14ac:dyDescent="0.3">
      <c r="A135" t="s">
        <v>139</v>
      </c>
      <c r="B135" t="s">
        <v>12</v>
      </c>
      <c r="C135" t="s">
        <v>149</v>
      </c>
      <c r="D135">
        <v>1.5518000000000001E-2</v>
      </c>
      <c r="E135" t="str">
        <f>_xll.qlSimpleQuote(SUBSTITUTE(A135&amp;"_"&amp;C135,"/","_"),D135,0,FALSE,$B$4)</f>
        <v>USD-FedFunds_IR_SWAP_RATE_USD_2D_1D_6M#0000</v>
      </c>
      <c r="F135" t="str">
        <f>_xll.ohRangeRetrieveError(E135)</f>
        <v/>
      </c>
    </row>
    <row r="136" spans="1:6" x14ac:dyDescent="0.3">
      <c r="A136" t="s">
        <v>139</v>
      </c>
      <c r="B136" t="s">
        <v>12</v>
      </c>
      <c r="C136" t="s">
        <v>150</v>
      </c>
      <c r="D136">
        <v>1.5461000000000001E-2</v>
      </c>
      <c r="E136" t="str">
        <f>_xll.qlSimpleQuote(SUBSTITUTE(A136&amp;"_"&amp;C136,"/","_"),D136,0,FALSE,$B$4)</f>
        <v>USD-FedFunds_IR_SWAP_RATE_USD_2D_1D_7M#0000</v>
      </c>
      <c r="F136" t="str">
        <f>_xll.ohRangeRetrieveError(E136)</f>
        <v/>
      </c>
    </row>
    <row r="137" spans="1:6" x14ac:dyDescent="0.3">
      <c r="A137" t="s">
        <v>139</v>
      </c>
      <c r="B137" t="s">
        <v>12</v>
      </c>
      <c r="C137" t="s">
        <v>151</v>
      </c>
      <c r="D137">
        <v>1.5391E-2</v>
      </c>
      <c r="E137" t="str">
        <f>_xll.qlSimpleQuote(SUBSTITUTE(A137&amp;"_"&amp;C137,"/","_"),D137,0,FALSE,$B$4)</f>
        <v>USD-FedFunds_IR_SWAP_RATE_USD_2D_1D_8M#0000</v>
      </c>
      <c r="F137" t="str">
        <f>_xll.ohRangeRetrieveError(E137)</f>
        <v/>
      </c>
    </row>
    <row r="138" spans="1:6" x14ac:dyDescent="0.3">
      <c r="A138" t="s">
        <v>139</v>
      </c>
      <c r="B138" t="s">
        <v>12</v>
      </c>
      <c r="C138" t="s">
        <v>152</v>
      </c>
      <c r="D138">
        <v>1.5321E-2</v>
      </c>
      <c r="E138" t="str">
        <f>_xll.qlSimpleQuote(SUBSTITUTE(A138&amp;"_"&amp;C138,"/","_"),D138,0,FALSE,$B$4)</f>
        <v>USD-FedFunds_IR_SWAP_RATE_USD_2D_1D_9M#0000</v>
      </c>
      <c r="F138" t="str">
        <f>_xll.ohRangeRetrieveError(E138)</f>
        <v/>
      </c>
    </row>
    <row r="139" spans="1:6" x14ac:dyDescent="0.3">
      <c r="A139" t="s">
        <v>139</v>
      </c>
      <c r="B139" t="s">
        <v>12</v>
      </c>
      <c r="C139" t="s">
        <v>153</v>
      </c>
      <c r="D139">
        <v>1.5243E-2</v>
      </c>
      <c r="E139" t="str">
        <f>_xll.qlSimpleQuote(SUBSTITUTE(A139&amp;"_"&amp;C139,"/","_"),D139,0,FALSE,$B$4)</f>
        <v>USD-FedFunds_IR_SWAP_RATE_USD_2D_1D_10M#0000</v>
      </c>
      <c r="F139" t="str">
        <f>_xll.ohRangeRetrieveError(E139)</f>
        <v/>
      </c>
    </row>
    <row r="140" spans="1:6" x14ac:dyDescent="0.3">
      <c r="A140" t="s">
        <v>139</v>
      </c>
      <c r="B140" t="s">
        <v>12</v>
      </c>
      <c r="C140" t="s">
        <v>154</v>
      </c>
      <c r="D140">
        <v>1.5157E-2</v>
      </c>
      <c r="E140" t="str">
        <f>_xll.qlSimpleQuote(SUBSTITUTE(A140&amp;"_"&amp;C140,"/","_"),D140,0,FALSE,$B$4)</f>
        <v>USD-FedFunds_IR_SWAP_RATE_USD_2D_1D_11M#0000</v>
      </c>
      <c r="F140" t="str">
        <f>_xll.ohRangeRetrieveError(E140)</f>
        <v/>
      </c>
    </row>
    <row r="141" spans="1:6" x14ac:dyDescent="0.3">
      <c r="A141" t="s">
        <v>139</v>
      </c>
      <c r="B141" t="s">
        <v>12</v>
      </c>
      <c r="C141" t="s">
        <v>155</v>
      </c>
      <c r="D141">
        <v>1.507E-2</v>
      </c>
      <c r="E141" t="str">
        <f>_xll.qlSimpleQuote(SUBSTITUTE(A141&amp;"_"&amp;C141,"/","_"),D141,0,FALSE,$B$4)</f>
        <v>USD-FedFunds_IR_SWAP_RATE_USD_2D_1D_1Y#0000</v>
      </c>
      <c r="F141" t="str">
        <f>_xll.ohRangeRetrieveError(E141)</f>
        <v/>
      </c>
    </row>
    <row r="142" spans="1:6" x14ac:dyDescent="0.3">
      <c r="A142" t="s">
        <v>139</v>
      </c>
      <c r="B142" t="s">
        <v>156</v>
      </c>
      <c r="C142" t="s">
        <v>157</v>
      </c>
      <c r="D142">
        <v>2.2750000000000001E-3</v>
      </c>
      <c r="E142" t="str">
        <f>_xll.qlSimpleQuote(SUBSTITUTE(A142&amp;"_"&amp;C142,"/","_"),D142,0,FALSE,$B$4)</f>
        <v>USD-FedFunds_BASIS_SWAP_BASIS_SPREAD_3M_1D_USD_2Y#0000</v>
      </c>
      <c r="F142" t="str">
        <f>_xll.ohRangeRetrieveError(E142)</f>
        <v/>
      </c>
    </row>
    <row r="143" spans="1:6" x14ac:dyDescent="0.3">
      <c r="A143" t="s">
        <v>139</v>
      </c>
      <c r="B143" t="s">
        <v>156</v>
      </c>
      <c r="C143" t="s">
        <v>158</v>
      </c>
      <c r="D143">
        <v>1.6750000000000001E-2</v>
      </c>
      <c r="E143" t="str">
        <f>_xll.qlSimpleQuote(SUBSTITUTE(A143&amp;"_"&amp;C143,"/","_"),D143,0,FALSE,$B$4)</f>
        <v>USD-FedFunds_IR_SWAP_RATE_USD_2D_3M_2Y#0000</v>
      </c>
      <c r="F143" t="str">
        <f>_xll.ohRangeRetrieveError(E143)</f>
        <v/>
      </c>
    </row>
    <row r="144" spans="1:6" x14ac:dyDescent="0.3">
      <c r="A144" t="s">
        <v>139</v>
      </c>
      <c r="B144" t="s">
        <v>156</v>
      </c>
      <c r="C144" t="s">
        <v>159</v>
      </c>
      <c r="D144">
        <v>2.2374999999999999E-3</v>
      </c>
      <c r="E144" t="str">
        <f>_xll.qlSimpleQuote(SUBSTITUTE(A144&amp;"_"&amp;C144,"/","_"),D144,0,FALSE,$B$4)</f>
        <v>USD-FedFunds_BASIS_SWAP_BASIS_SPREAD_3M_1D_USD_3Y#0000</v>
      </c>
      <c r="F144" t="str">
        <f>_xll.ohRangeRetrieveError(E144)</f>
        <v/>
      </c>
    </row>
    <row r="145" spans="1:6" x14ac:dyDescent="0.3">
      <c r="A145" t="s">
        <v>139</v>
      </c>
      <c r="B145" t="s">
        <v>156</v>
      </c>
      <c r="C145" t="s">
        <v>160</v>
      </c>
      <c r="D145">
        <v>1.6598000000000002E-2</v>
      </c>
      <c r="E145" t="str">
        <f>_xll.qlSimpleQuote(SUBSTITUTE(A145&amp;"_"&amp;C145,"/","_"),D145,0,FALSE,$B$4)</f>
        <v>USD-FedFunds_IR_SWAP_RATE_USD_2D_3M_3Y#0000</v>
      </c>
      <c r="F145" t="str">
        <f>_xll.ohRangeRetrieveError(E145)</f>
        <v/>
      </c>
    </row>
    <row r="146" spans="1:6" x14ac:dyDescent="0.3">
      <c r="A146" t="s">
        <v>139</v>
      </c>
      <c r="B146" t="s">
        <v>156</v>
      </c>
      <c r="C146" t="s">
        <v>161</v>
      </c>
      <c r="D146">
        <v>2.225E-3</v>
      </c>
      <c r="E146" t="str">
        <f>_xll.qlSimpleQuote(SUBSTITUTE(A146&amp;"_"&amp;C146,"/","_"),D146,0,FALSE,$B$4)</f>
        <v>USD-FedFunds_BASIS_SWAP_BASIS_SPREAD_3M_1D_USD_4Y#0000</v>
      </c>
      <c r="F146" t="str">
        <f>_xll.ohRangeRetrieveError(E146)</f>
        <v/>
      </c>
    </row>
    <row r="147" spans="1:6" x14ac:dyDescent="0.3">
      <c r="A147" t="s">
        <v>139</v>
      </c>
      <c r="B147" t="s">
        <v>156</v>
      </c>
      <c r="C147" t="s">
        <v>162</v>
      </c>
      <c r="D147">
        <v>1.6722999999999998E-2</v>
      </c>
      <c r="E147" t="str">
        <f>_xll.qlSimpleQuote(SUBSTITUTE(A147&amp;"_"&amp;C147,"/","_"),D147,0,FALSE,$B$4)</f>
        <v>USD-FedFunds_IR_SWAP_RATE_USD_2D_3M_4Y#0000</v>
      </c>
      <c r="F147" t="str">
        <f>_xll.ohRangeRetrieveError(E147)</f>
        <v/>
      </c>
    </row>
    <row r="148" spans="1:6" x14ac:dyDescent="0.3">
      <c r="A148" t="s">
        <v>139</v>
      </c>
      <c r="B148" t="s">
        <v>156</v>
      </c>
      <c r="C148" t="s">
        <v>163</v>
      </c>
      <c r="D148">
        <v>2.2125000000000001E-3</v>
      </c>
      <c r="E148" t="str">
        <f>_xll.qlSimpleQuote(SUBSTITUTE(A148&amp;"_"&amp;C148,"/","_"),D148,0,FALSE,$B$4)</f>
        <v>USD-FedFunds_BASIS_SWAP_BASIS_SPREAD_3M_1D_USD_5Y#0000</v>
      </c>
      <c r="F148" t="str">
        <f>_xll.ohRangeRetrieveError(E148)</f>
        <v/>
      </c>
    </row>
    <row r="149" spans="1:6" x14ac:dyDescent="0.3">
      <c r="A149" t="s">
        <v>139</v>
      </c>
      <c r="B149" t="s">
        <v>156</v>
      </c>
      <c r="C149" t="s">
        <v>164</v>
      </c>
      <c r="D149">
        <v>1.6830000000000001E-2</v>
      </c>
      <c r="E149" t="str">
        <f>_xll.qlSimpleQuote(SUBSTITUTE(A149&amp;"_"&amp;C149,"/","_"),D149,0,FALSE,$B$4)</f>
        <v>USD-FedFunds_IR_SWAP_RATE_USD_2D_3M_5Y#0000</v>
      </c>
      <c r="F149" t="str">
        <f>_xll.ohRangeRetrieveError(E149)</f>
        <v/>
      </c>
    </row>
    <row r="150" spans="1:6" x14ac:dyDescent="0.3">
      <c r="A150" t="s">
        <v>139</v>
      </c>
      <c r="B150" t="s">
        <v>156</v>
      </c>
      <c r="C150" t="s">
        <v>165</v>
      </c>
      <c r="D150">
        <v>2.2000000000000001E-3</v>
      </c>
      <c r="E150" t="str">
        <f>_xll.qlSimpleQuote(SUBSTITUTE(A150&amp;"_"&amp;C150,"/","_"),D150,0,FALSE,$B$4)</f>
        <v>USD-FedFunds_BASIS_SWAP_BASIS_SPREAD_3M_1D_USD_7Y#0000</v>
      </c>
      <c r="F150" t="str">
        <f>_xll.ohRangeRetrieveError(E150)</f>
        <v/>
      </c>
    </row>
    <row r="151" spans="1:6" x14ac:dyDescent="0.3">
      <c r="A151" t="s">
        <v>139</v>
      </c>
      <c r="B151" t="s">
        <v>156</v>
      </c>
      <c r="C151" t="s">
        <v>166</v>
      </c>
      <c r="D151">
        <v>1.7440000000000001E-2</v>
      </c>
      <c r="E151" t="str">
        <f>_xll.qlSimpleQuote(SUBSTITUTE(A151&amp;"_"&amp;C151,"/","_"),D151,0,FALSE,$B$4)</f>
        <v>USD-FedFunds_IR_SWAP_RATE_USD_2D_3M_7Y#0000</v>
      </c>
      <c r="F151" t="str">
        <f>_xll.ohRangeRetrieveError(E151)</f>
        <v/>
      </c>
    </row>
    <row r="152" spans="1:6" x14ac:dyDescent="0.3">
      <c r="A152" t="s">
        <v>139</v>
      </c>
      <c r="B152" t="s">
        <v>156</v>
      </c>
      <c r="C152" t="s">
        <v>167</v>
      </c>
      <c r="D152">
        <v>2.2000000000000001E-3</v>
      </c>
      <c r="E152" t="str">
        <f>_xll.qlSimpleQuote(SUBSTITUTE(A152&amp;"_"&amp;C152,"/","_"),D152,0,FALSE,$B$4)</f>
        <v>USD-FedFunds_BASIS_SWAP_BASIS_SPREAD_3M_1D_USD_10Y#0000</v>
      </c>
      <c r="F152" t="str">
        <f>_xll.ohRangeRetrieveError(E152)</f>
        <v/>
      </c>
    </row>
    <row r="153" spans="1:6" x14ac:dyDescent="0.3">
      <c r="A153" t="s">
        <v>139</v>
      </c>
      <c r="B153" t="s">
        <v>156</v>
      </c>
      <c r="C153" t="s">
        <v>168</v>
      </c>
      <c r="D153">
        <v>1.839E-2</v>
      </c>
      <c r="E153" t="str">
        <f>_xll.qlSimpleQuote(SUBSTITUTE(A153&amp;"_"&amp;C153,"/","_"),D153,0,FALSE,$B$4)</f>
        <v>USD-FedFunds_IR_SWAP_RATE_USD_2D_3M_10Y#0000</v>
      </c>
      <c r="F153" t="str">
        <f>_xll.ohRangeRetrieveError(E153)</f>
        <v/>
      </c>
    </row>
    <row r="154" spans="1:6" x14ac:dyDescent="0.3">
      <c r="A154" t="s">
        <v>139</v>
      </c>
      <c r="B154" t="s">
        <v>156</v>
      </c>
      <c r="C154" t="s">
        <v>169</v>
      </c>
      <c r="D154">
        <v>2.2000000000000001E-3</v>
      </c>
      <c r="E154" t="str">
        <f>_xll.qlSimpleQuote(SUBSTITUTE(A154&amp;"_"&amp;C154,"/","_"),D154,0,FALSE,$B$4)</f>
        <v>USD-FedFunds_BASIS_SWAP_BASIS_SPREAD_3M_1D_USD_15Y#0000</v>
      </c>
      <c r="F154" t="str">
        <f>_xll.ohRangeRetrieveError(E154)</f>
        <v/>
      </c>
    </row>
    <row r="155" spans="1:6" x14ac:dyDescent="0.3">
      <c r="A155" t="s">
        <v>139</v>
      </c>
      <c r="B155" t="s">
        <v>156</v>
      </c>
      <c r="C155" t="s">
        <v>170</v>
      </c>
      <c r="D155">
        <v>1.9365E-2</v>
      </c>
      <c r="E155" t="str">
        <f>_xll.qlSimpleQuote(SUBSTITUTE(A155&amp;"_"&amp;C155,"/","_"),D155,0,FALSE,$B$4)</f>
        <v>USD-FedFunds_IR_SWAP_RATE_USD_2D_3M_15Y#0000</v>
      </c>
      <c r="F155" t="str">
        <f>_xll.ohRangeRetrieveError(E155)</f>
        <v/>
      </c>
    </row>
    <row r="156" spans="1:6" x14ac:dyDescent="0.3">
      <c r="A156" t="s">
        <v>139</v>
      </c>
      <c r="B156" t="s">
        <v>156</v>
      </c>
      <c r="C156" t="s">
        <v>171</v>
      </c>
      <c r="D156">
        <v>2.2125000000000001E-3</v>
      </c>
      <c r="E156" t="str">
        <f>_xll.qlSimpleQuote(SUBSTITUTE(A156&amp;"_"&amp;C156,"/","_"),D156,0,FALSE,$B$4)</f>
        <v>USD-FedFunds_BASIS_SWAP_BASIS_SPREAD_3M_1D_USD_20Y#0000</v>
      </c>
      <c r="F156" t="str">
        <f>_xll.ohRangeRetrieveError(E156)</f>
        <v/>
      </c>
    </row>
    <row r="157" spans="1:6" x14ac:dyDescent="0.3">
      <c r="A157" t="s">
        <v>139</v>
      </c>
      <c r="B157" t="s">
        <v>156</v>
      </c>
      <c r="C157" t="s">
        <v>172</v>
      </c>
      <c r="D157">
        <v>1.9935000000000001E-2</v>
      </c>
      <c r="E157" t="str">
        <f>_xll.qlSimpleQuote(SUBSTITUTE(A157&amp;"_"&amp;C157,"/","_"),D157,0,FALSE,$B$4)</f>
        <v>USD-FedFunds_IR_SWAP_RATE_USD_2D_3M_20Y#0000</v>
      </c>
      <c r="F157" t="str">
        <f>_xll.ohRangeRetrieveError(E157)</f>
        <v/>
      </c>
    </row>
    <row r="158" spans="1:6" x14ac:dyDescent="0.3">
      <c r="A158" t="s">
        <v>139</v>
      </c>
      <c r="B158" t="s">
        <v>156</v>
      </c>
      <c r="C158" t="s">
        <v>173</v>
      </c>
      <c r="D158">
        <v>2.225E-3</v>
      </c>
      <c r="E158" t="str">
        <f>_xll.qlSimpleQuote(SUBSTITUTE(A158&amp;"_"&amp;C158,"/","_"),D158,0,FALSE,$B$4)</f>
        <v>USD-FedFunds_BASIS_SWAP_BASIS_SPREAD_3M_1D_USD_30Y#0000</v>
      </c>
      <c r="F158" t="str">
        <f>_xll.ohRangeRetrieveError(E158)</f>
        <v/>
      </c>
    </row>
    <row r="159" spans="1:6" x14ac:dyDescent="0.3">
      <c r="A159" t="s">
        <v>139</v>
      </c>
      <c r="B159" t="s">
        <v>156</v>
      </c>
      <c r="C159" t="s">
        <v>174</v>
      </c>
      <c r="D159">
        <v>2.018E-2</v>
      </c>
      <c r="E159" t="str">
        <f>_xll.qlSimpleQuote(SUBSTITUTE(A159&amp;"_"&amp;C159,"/","_"),D159,0,FALSE,$B$4)</f>
        <v>USD-FedFunds_IR_SWAP_RATE_USD_2D_3M_30Y#0000</v>
      </c>
      <c r="F159" t="str">
        <f>_xll.ohRangeRetrieveError(E159)</f>
        <v/>
      </c>
    </row>
    <row r="160" spans="1:6" x14ac:dyDescent="0.3">
      <c r="A160" t="s">
        <v>175</v>
      </c>
      <c r="B160" t="s">
        <v>10</v>
      </c>
      <c r="C160" t="s">
        <v>176</v>
      </c>
      <c r="D160">
        <v>1.9093800000000001E-2</v>
      </c>
      <c r="E160" t="str">
        <f>_xll.qlSimpleQuote(SUBSTITUTE(A160&amp;"_"&amp;C160,"/","_"),D160,0,FALSE,$B$4)</f>
        <v>USD-LIBOR-3M_MM_RATE_USD_2D_3M#0000</v>
      </c>
      <c r="F160" t="str">
        <f>_xll.ohRangeRetrieveError(E160)</f>
        <v/>
      </c>
    </row>
    <row r="161" spans="1:6" x14ac:dyDescent="0.3">
      <c r="A161" t="s">
        <v>175</v>
      </c>
      <c r="B161" t="s">
        <v>48</v>
      </c>
      <c r="C161" t="s">
        <v>177</v>
      </c>
      <c r="D161">
        <v>1.7760000000000001E-2</v>
      </c>
      <c r="E161" t="str">
        <f>_xll.qlSimpleQuote(SUBSTITUTE(A161&amp;"_"&amp;C161,"/","_"),D161,0,FALSE,$B$4)</f>
        <v>USD-LIBOR-3M_FRA_RATE_USD_1M_3M#0000</v>
      </c>
      <c r="F161" t="str">
        <f>_xll.ohRangeRetrieveError(E161)</f>
        <v/>
      </c>
    </row>
    <row r="162" spans="1:6" x14ac:dyDescent="0.3">
      <c r="A162" t="s">
        <v>175</v>
      </c>
      <c r="B162" t="s">
        <v>48</v>
      </c>
      <c r="C162" t="s">
        <v>178</v>
      </c>
      <c r="D162">
        <v>1.7409999999999998E-2</v>
      </c>
      <c r="E162" t="str">
        <f>_xll.qlSimpleQuote(SUBSTITUTE(A162&amp;"_"&amp;C162,"/","_"),D162,0,FALSE,$B$4)</f>
        <v>USD-LIBOR-3M_FRA_RATE_USD_2M_3M#0000</v>
      </c>
      <c r="F162" t="str">
        <f>_xll.ohRangeRetrieveError(E162)</f>
        <v/>
      </c>
    </row>
    <row r="163" spans="1:6" x14ac:dyDescent="0.3">
      <c r="A163" t="s">
        <v>175</v>
      </c>
      <c r="B163" t="s">
        <v>48</v>
      </c>
      <c r="C163" t="s">
        <v>179</v>
      </c>
      <c r="D163">
        <v>1.719E-2</v>
      </c>
      <c r="E163" t="str">
        <f>_xll.qlSimpleQuote(SUBSTITUTE(A163&amp;"_"&amp;C163,"/","_"),D163,0,FALSE,$B$4)</f>
        <v>USD-LIBOR-3M_FRA_RATE_USD_3M_3M#0000</v>
      </c>
      <c r="F163" t="str">
        <f>_xll.ohRangeRetrieveError(E163)</f>
        <v/>
      </c>
    </row>
    <row r="164" spans="1:6" x14ac:dyDescent="0.3">
      <c r="A164" t="s">
        <v>175</v>
      </c>
      <c r="B164" t="s">
        <v>48</v>
      </c>
      <c r="C164" t="s">
        <v>180</v>
      </c>
      <c r="D164">
        <v>1.6899999999999998E-2</v>
      </c>
      <c r="E164" t="str">
        <f>_xll.qlSimpleQuote(SUBSTITUTE(A164&amp;"_"&amp;C164,"/","_"),D164,0,FALSE,$B$4)</f>
        <v>USD-LIBOR-3M_FRA_RATE_USD_4M_3M#0000</v>
      </c>
      <c r="F164" t="str">
        <f>_xll.ohRangeRetrieveError(E164)</f>
        <v/>
      </c>
    </row>
    <row r="165" spans="1:6" x14ac:dyDescent="0.3">
      <c r="A165" t="s">
        <v>175</v>
      </c>
      <c r="B165" t="s">
        <v>48</v>
      </c>
      <c r="C165" t="s">
        <v>181</v>
      </c>
      <c r="D165">
        <v>1.6789999999999999E-2</v>
      </c>
      <c r="E165" t="str">
        <f>_xll.qlSimpleQuote(SUBSTITUTE(A165&amp;"_"&amp;C165,"/","_"),D165,0,FALSE,$B$4)</f>
        <v>USD-LIBOR-3M_FRA_RATE_USD_5M_3M#0000</v>
      </c>
      <c r="F165" t="str">
        <f>_xll.ohRangeRetrieveError(E165)</f>
        <v/>
      </c>
    </row>
    <row r="166" spans="1:6" x14ac:dyDescent="0.3">
      <c r="A166" t="s">
        <v>175</v>
      </c>
      <c r="B166" t="s">
        <v>48</v>
      </c>
      <c r="C166" t="s">
        <v>182</v>
      </c>
      <c r="D166">
        <v>1.669E-2</v>
      </c>
      <c r="E166" t="str">
        <f>_xll.qlSimpleQuote(SUBSTITUTE(A166&amp;"_"&amp;C166,"/","_"),D166,0,FALSE,$B$4)</f>
        <v>USD-LIBOR-3M_FRA_RATE_USD_6M_3M#0000</v>
      </c>
      <c r="F166" t="str">
        <f>_xll.ohRangeRetrieveError(E166)</f>
        <v/>
      </c>
    </row>
    <row r="167" spans="1:6" x14ac:dyDescent="0.3">
      <c r="A167" t="s">
        <v>175</v>
      </c>
      <c r="B167" t="s">
        <v>48</v>
      </c>
      <c r="C167" t="s">
        <v>183</v>
      </c>
      <c r="D167">
        <v>1.636E-2</v>
      </c>
      <c r="E167" t="str">
        <f>_xll.qlSimpleQuote(SUBSTITUTE(A167&amp;"_"&amp;C167,"/","_"),D167,0,FALSE,$B$4)</f>
        <v>USD-LIBOR-3M_FRA_RATE_USD_7M_3M#0000</v>
      </c>
      <c r="F167" t="str">
        <f>_xll.ohRangeRetrieveError(E167)</f>
        <v/>
      </c>
    </row>
    <row r="168" spans="1:6" x14ac:dyDescent="0.3">
      <c r="A168" t="s">
        <v>175</v>
      </c>
      <c r="B168" t="s">
        <v>48</v>
      </c>
      <c r="C168" t="s">
        <v>184</v>
      </c>
      <c r="D168">
        <v>1.6289999999999999E-2</v>
      </c>
      <c r="E168" t="str">
        <f>_xll.qlSimpleQuote(SUBSTITUTE(A168&amp;"_"&amp;C168,"/","_"),D168,0,FALSE,$B$4)</f>
        <v>USD-LIBOR-3M_FRA_RATE_USD_8M_3M#0000</v>
      </c>
      <c r="F168" t="str">
        <f>_xll.ohRangeRetrieveError(E168)</f>
        <v/>
      </c>
    </row>
    <row r="169" spans="1:6" x14ac:dyDescent="0.3">
      <c r="A169" t="s">
        <v>175</v>
      </c>
      <c r="B169" t="s">
        <v>48</v>
      </c>
      <c r="C169" t="s">
        <v>185</v>
      </c>
      <c r="D169">
        <v>1.6060000000000001E-2</v>
      </c>
      <c r="E169" t="str">
        <f>_xll.qlSimpleQuote(SUBSTITUTE(A169&amp;"_"&amp;C169,"/","_"),D169,0,FALSE,$B$4)</f>
        <v>USD-LIBOR-3M_FRA_RATE_USD_9M_3M#0000</v>
      </c>
      <c r="F169" t="str">
        <f>_xll.ohRangeRetrieveError(E169)</f>
        <v/>
      </c>
    </row>
    <row r="170" spans="1:6" x14ac:dyDescent="0.3">
      <c r="A170" t="s">
        <v>175</v>
      </c>
      <c r="B170" t="s">
        <v>86</v>
      </c>
      <c r="C170" t="s">
        <v>158</v>
      </c>
      <c r="D170">
        <v>1.6750000000000001E-2</v>
      </c>
      <c r="E170" t="str">
        <f>_xll.qlSimpleQuote(SUBSTITUTE(A170&amp;"_"&amp;C170,"/","_"),D170,0,FALSE,$B$4)</f>
        <v>USD-LIBOR-3M_IR_SWAP_RATE_USD_2D_3M_2Y#0000</v>
      </c>
      <c r="F170" t="str">
        <f>_xll.ohRangeRetrieveError(E170)</f>
        <v/>
      </c>
    </row>
    <row r="171" spans="1:6" x14ac:dyDescent="0.3">
      <c r="A171" t="s">
        <v>175</v>
      </c>
      <c r="B171" t="s">
        <v>86</v>
      </c>
      <c r="C171" t="s">
        <v>160</v>
      </c>
      <c r="D171">
        <v>1.6598000000000002E-2</v>
      </c>
      <c r="E171" t="str">
        <f>_xll.qlSimpleQuote(SUBSTITUTE(A171&amp;"_"&amp;C171,"/","_"),D171,0,FALSE,$B$4)</f>
        <v>USD-LIBOR-3M_IR_SWAP_RATE_USD_2D_3M_3Y#0000</v>
      </c>
      <c r="F171" t="str">
        <f>_xll.ohRangeRetrieveError(E171)</f>
        <v/>
      </c>
    </row>
    <row r="172" spans="1:6" x14ac:dyDescent="0.3">
      <c r="A172" t="s">
        <v>175</v>
      </c>
      <c r="B172" t="s">
        <v>86</v>
      </c>
      <c r="C172" t="s">
        <v>162</v>
      </c>
      <c r="D172">
        <v>1.6722999999999998E-2</v>
      </c>
      <c r="E172" t="str">
        <f>_xll.qlSimpleQuote(SUBSTITUTE(A172&amp;"_"&amp;C172,"/","_"),D172,0,FALSE,$B$4)</f>
        <v>USD-LIBOR-3M_IR_SWAP_RATE_USD_2D_3M_4Y#0000</v>
      </c>
      <c r="F172" t="str">
        <f>_xll.ohRangeRetrieveError(E172)</f>
        <v/>
      </c>
    </row>
    <row r="173" spans="1:6" x14ac:dyDescent="0.3">
      <c r="A173" t="s">
        <v>175</v>
      </c>
      <c r="B173" t="s">
        <v>86</v>
      </c>
      <c r="C173" t="s">
        <v>164</v>
      </c>
      <c r="D173">
        <v>1.6830000000000001E-2</v>
      </c>
      <c r="E173" t="str">
        <f>_xll.qlSimpleQuote(SUBSTITUTE(A173&amp;"_"&amp;C173,"/","_"),D173,0,FALSE,$B$4)</f>
        <v>USD-LIBOR-3M_IR_SWAP_RATE_USD_2D_3M_5Y#0000</v>
      </c>
      <c r="F173" t="str">
        <f>_xll.ohRangeRetrieveError(E173)</f>
        <v/>
      </c>
    </row>
    <row r="174" spans="1:6" x14ac:dyDescent="0.3">
      <c r="A174" t="s">
        <v>175</v>
      </c>
      <c r="B174" t="s">
        <v>86</v>
      </c>
      <c r="C174" t="s">
        <v>186</v>
      </c>
      <c r="D174">
        <v>1.712E-2</v>
      </c>
      <c r="E174" t="str">
        <f>_xll.qlSimpleQuote(SUBSTITUTE(A174&amp;"_"&amp;C174,"/","_"),D174,0,FALSE,$B$4)</f>
        <v>USD-LIBOR-3M_IR_SWAP_RATE_USD_2D_3M_6Y#0000</v>
      </c>
      <c r="F174" t="str">
        <f>_xll.ohRangeRetrieveError(E174)</f>
        <v/>
      </c>
    </row>
    <row r="175" spans="1:6" x14ac:dyDescent="0.3">
      <c r="A175" t="s">
        <v>175</v>
      </c>
      <c r="B175" t="s">
        <v>86</v>
      </c>
      <c r="C175" t="s">
        <v>166</v>
      </c>
      <c r="D175">
        <v>1.7440000000000001E-2</v>
      </c>
      <c r="E175" t="str">
        <f>_xll.qlSimpleQuote(SUBSTITUTE(A175&amp;"_"&amp;C175,"/","_"),D175,0,FALSE,$B$4)</f>
        <v>USD-LIBOR-3M_IR_SWAP_RATE_USD_2D_3M_7Y#0000</v>
      </c>
      <c r="F175" t="str">
        <f>_xll.ohRangeRetrieveError(E175)</f>
        <v/>
      </c>
    </row>
    <row r="176" spans="1:6" x14ac:dyDescent="0.3">
      <c r="A176" t="s">
        <v>175</v>
      </c>
      <c r="B176" t="s">
        <v>86</v>
      </c>
      <c r="C176" t="s">
        <v>187</v>
      </c>
      <c r="D176">
        <v>1.7770000000000001E-2</v>
      </c>
      <c r="E176" t="str">
        <f>_xll.qlSimpleQuote(SUBSTITUTE(A176&amp;"_"&amp;C176,"/","_"),D176,0,FALSE,$B$4)</f>
        <v>USD-LIBOR-3M_IR_SWAP_RATE_USD_2D_3M_8Y#0000</v>
      </c>
      <c r="F176" t="str">
        <f>_xll.ohRangeRetrieveError(E176)</f>
        <v/>
      </c>
    </row>
    <row r="177" spans="1:6" x14ac:dyDescent="0.3">
      <c r="A177" t="s">
        <v>175</v>
      </c>
      <c r="B177" t="s">
        <v>86</v>
      </c>
      <c r="C177" t="s">
        <v>188</v>
      </c>
      <c r="D177">
        <v>1.7979999999999999E-2</v>
      </c>
      <c r="E177" t="str">
        <f>_xll.qlSimpleQuote(SUBSTITUTE(A177&amp;"_"&amp;C177,"/","_"),D177,0,FALSE,$B$4)</f>
        <v>USD-LIBOR-3M_IR_SWAP_RATE_USD_2D_3M_9Y#0000</v>
      </c>
      <c r="F177" t="str">
        <f>_xll.ohRangeRetrieveError(E177)</f>
        <v/>
      </c>
    </row>
    <row r="178" spans="1:6" x14ac:dyDescent="0.3">
      <c r="A178" t="s">
        <v>175</v>
      </c>
      <c r="B178" t="s">
        <v>86</v>
      </c>
      <c r="C178" t="s">
        <v>168</v>
      </c>
      <c r="D178">
        <v>1.839E-2</v>
      </c>
      <c r="E178" t="str">
        <f>_xll.qlSimpleQuote(SUBSTITUTE(A178&amp;"_"&amp;C178,"/","_"),D178,0,FALSE,$B$4)</f>
        <v>USD-LIBOR-3M_IR_SWAP_RATE_USD_2D_3M_10Y#0000</v>
      </c>
      <c r="F178" t="str">
        <f>_xll.ohRangeRetrieveError(E178)</f>
        <v/>
      </c>
    </row>
    <row r="179" spans="1:6" x14ac:dyDescent="0.3">
      <c r="A179" t="s">
        <v>175</v>
      </c>
      <c r="B179" t="s">
        <v>86</v>
      </c>
      <c r="C179" t="s">
        <v>189</v>
      </c>
      <c r="D179">
        <v>1.8814999999999998E-2</v>
      </c>
      <c r="E179" t="str">
        <f>_xll.qlSimpleQuote(SUBSTITUTE(A179&amp;"_"&amp;C179,"/","_"),D179,0,FALSE,$B$4)</f>
        <v>USD-LIBOR-3M_IR_SWAP_RATE_USD_2D_3M_12Y#0000</v>
      </c>
      <c r="F179" t="str">
        <f>_xll.ohRangeRetrieveError(E179)</f>
        <v/>
      </c>
    </row>
    <row r="180" spans="1:6" x14ac:dyDescent="0.3">
      <c r="A180" t="s">
        <v>175</v>
      </c>
      <c r="B180" t="s">
        <v>86</v>
      </c>
      <c r="C180" t="s">
        <v>170</v>
      </c>
      <c r="D180">
        <v>1.9365E-2</v>
      </c>
      <c r="E180" t="str">
        <f>_xll.qlSimpleQuote(SUBSTITUTE(A180&amp;"_"&amp;C180,"/","_"),D180,0,FALSE,$B$4)</f>
        <v>USD-LIBOR-3M_IR_SWAP_RATE_USD_2D_3M_15Y#0000</v>
      </c>
      <c r="F180" t="str">
        <f>_xll.ohRangeRetrieveError(E180)</f>
        <v/>
      </c>
    </row>
    <row r="181" spans="1:6" x14ac:dyDescent="0.3">
      <c r="A181" t="s">
        <v>175</v>
      </c>
      <c r="B181" t="s">
        <v>86</v>
      </c>
      <c r="C181" t="s">
        <v>172</v>
      </c>
      <c r="D181">
        <v>1.9935000000000001E-2</v>
      </c>
      <c r="E181" t="str">
        <f>_xll.qlSimpleQuote(SUBSTITUTE(A181&amp;"_"&amp;C181,"/","_"),D181,0,FALSE,$B$4)</f>
        <v>USD-LIBOR-3M_IR_SWAP_RATE_USD_2D_3M_20Y#0000</v>
      </c>
      <c r="F181" t="str">
        <f>_xll.ohRangeRetrieveError(E181)</f>
        <v/>
      </c>
    </row>
    <row r="182" spans="1:6" x14ac:dyDescent="0.3">
      <c r="A182" t="s">
        <v>175</v>
      </c>
      <c r="B182" t="s">
        <v>86</v>
      </c>
      <c r="C182" t="s">
        <v>190</v>
      </c>
      <c r="D182">
        <v>2.0129999999999999E-2</v>
      </c>
      <c r="E182" t="str">
        <f>_xll.qlSimpleQuote(SUBSTITUTE(A182&amp;"_"&amp;C182,"/","_"),D182,0,FALSE,$B$4)</f>
        <v>USD-LIBOR-3M_IR_SWAP_RATE_USD_2D_3M_25Y#0000</v>
      </c>
      <c r="F182" t="str">
        <f>_xll.ohRangeRetrieveError(E182)</f>
        <v/>
      </c>
    </row>
    <row r="183" spans="1:6" x14ac:dyDescent="0.3">
      <c r="A183" t="s">
        <v>175</v>
      </c>
      <c r="B183" t="s">
        <v>86</v>
      </c>
      <c r="C183" t="s">
        <v>174</v>
      </c>
      <c r="D183">
        <v>2.018E-2</v>
      </c>
      <c r="E183" t="str">
        <f>_xll.qlSimpleQuote(SUBSTITUTE(A183&amp;"_"&amp;C183,"/","_"),D183,0,FALSE,$B$4)</f>
        <v>USD-LIBOR-3M_IR_SWAP_RATE_USD_2D_3M_30Y#0000</v>
      </c>
      <c r="F183" t="str">
        <f>_xll.ohRangeRetrieveError(E183)</f>
        <v/>
      </c>
    </row>
    <row r="184" spans="1:6" x14ac:dyDescent="0.3">
      <c r="A184" t="s">
        <v>175</v>
      </c>
      <c r="B184" t="s">
        <v>86</v>
      </c>
      <c r="C184" t="s">
        <v>191</v>
      </c>
      <c r="D184">
        <v>1.9910000000000001E-2</v>
      </c>
      <c r="E184" t="str">
        <f>_xll.qlSimpleQuote(SUBSTITUTE(A184&amp;"_"&amp;C184,"/","_"),D184,0,FALSE,$B$4)</f>
        <v>USD-LIBOR-3M_IR_SWAP_RATE_USD_2D_3M_40Y#0000</v>
      </c>
      <c r="F184" t="str">
        <f>_xll.ohRangeRetrieveError(E184)</f>
        <v/>
      </c>
    </row>
    <row r="185" spans="1:6" x14ac:dyDescent="0.3">
      <c r="A185" t="s">
        <v>175</v>
      </c>
      <c r="B185" t="s">
        <v>86</v>
      </c>
      <c r="C185" t="s">
        <v>192</v>
      </c>
      <c r="D185">
        <v>1.959E-2</v>
      </c>
      <c r="E185" t="str">
        <f>_xll.qlSimpleQuote(SUBSTITUTE(A185&amp;"_"&amp;C185,"/","_"),D185,0,FALSE,$B$4)</f>
        <v>USD-LIBOR-3M_IR_SWAP_RATE_USD_2D_3M_50Y#0000</v>
      </c>
      <c r="F185" t="str">
        <f>_xll.ohRangeRetrieveError(E185)</f>
        <v/>
      </c>
    </row>
    <row r="186" spans="1:6" x14ac:dyDescent="0.3">
      <c r="A186" t="s">
        <v>193</v>
      </c>
      <c r="B186" t="s">
        <v>10</v>
      </c>
      <c r="C186" t="s">
        <v>194</v>
      </c>
      <c r="D186">
        <v>1.90875E-2</v>
      </c>
      <c r="E186" t="str">
        <f>_xll.qlSimpleQuote(SUBSTITUTE(A186&amp;"_"&amp;C186,"/","_"),D186,0,FALSE,$B$4)</f>
        <v>USD-LIBOR-6M_MM_RATE_USD_2D_6M#0000</v>
      </c>
      <c r="F186" t="str">
        <f>_xll.ohRangeRetrieveError(E186)</f>
        <v/>
      </c>
    </row>
    <row r="187" spans="1:6" x14ac:dyDescent="0.3">
      <c r="A187" t="s">
        <v>193</v>
      </c>
      <c r="B187" t="s">
        <v>48</v>
      </c>
      <c r="C187" t="s">
        <v>195</v>
      </c>
      <c r="D187">
        <v>1.8069999999999999E-2</v>
      </c>
      <c r="E187" t="str">
        <f>_xll.qlSimpleQuote(SUBSTITUTE(A187&amp;"_"&amp;C187,"/","_"),D187,0,FALSE,$B$4)</f>
        <v>USD-LIBOR-6M_FRA_RATE_USD_1M_6M#0000</v>
      </c>
      <c r="F187" t="str">
        <f>_xll.ohRangeRetrieveError(E187)</f>
        <v/>
      </c>
    </row>
    <row r="188" spans="1:6" x14ac:dyDescent="0.3">
      <c r="A188" t="s">
        <v>193</v>
      </c>
      <c r="B188" t="s">
        <v>48</v>
      </c>
      <c r="C188" t="s">
        <v>196</v>
      </c>
      <c r="D188">
        <v>1.7579999999999998E-2</v>
      </c>
      <c r="E188" t="str">
        <f>_xll.qlSimpleQuote(SUBSTITUTE(A188&amp;"_"&amp;C188,"/","_"),D188,0,FALSE,$B$4)</f>
        <v>USD-LIBOR-6M_FRA_RATE_USD_2M_6M#0000</v>
      </c>
      <c r="F188" t="str">
        <f>_xll.ohRangeRetrieveError(E188)</f>
        <v/>
      </c>
    </row>
    <row r="189" spans="1:6" x14ac:dyDescent="0.3">
      <c r="A189" t="s">
        <v>193</v>
      </c>
      <c r="B189" t="s">
        <v>48</v>
      </c>
      <c r="C189" t="s">
        <v>197</v>
      </c>
      <c r="D189">
        <v>1.7420000000000001E-2</v>
      </c>
      <c r="E189" t="str">
        <f>_xll.qlSimpleQuote(SUBSTITUTE(A189&amp;"_"&amp;C189,"/","_"),D189,0,FALSE,$B$4)</f>
        <v>USD-LIBOR-6M_FRA_RATE_USD_3M_6M#0000</v>
      </c>
      <c r="F189" t="str">
        <f>_xll.ohRangeRetrieveError(E189)</f>
        <v/>
      </c>
    </row>
    <row r="190" spans="1:6" x14ac:dyDescent="0.3">
      <c r="A190" t="s">
        <v>193</v>
      </c>
      <c r="B190" t="s">
        <v>48</v>
      </c>
      <c r="C190" t="s">
        <v>198</v>
      </c>
      <c r="D190">
        <v>1.7170000000000001E-2</v>
      </c>
      <c r="E190" t="str">
        <f>_xll.qlSimpleQuote(SUBSTITUTE(A190&amp;"_"&amp;C190,"/","_"),D190,0,FALSE,$B$4)</f>
        <v>USD-LIBOR-6M_FRA_RATE_USD_4M_6M#0000</v>
      </c>
      <c r="F190" t="str">
        <f>_xll.ohRangeRetrieveError(E190)</f>
        <v/>
      </c>
    </row>
    <row r="191" spans="1:6" x14ac:dyDescent="0.3">
      <c r="A191" t="s">
        <v>193</v>
      </c>
      <c r="B191" t="s">
        <v>48</v>
      </c>
      <c r="C191" t="s">
        <v>199</v>
      </c>
      <c r="D191">
        <v>1.7010000000000001E-2</v>
      </c>
      <c r="E191" t="str">
        <f>_xll.qlSimpleQuote(SUBSTITUTE(A191&amp;"_"&amp;C191,"/","_"),D191,0,FALSE,$B$4)</f>
        <v>USD-LIBOR-6M_FRA_RATE_USD_5M_6M#0000</v>
      </c>
      <c r="F191" t="str">
        <f>_xll.ohRangeRetrieveError(E191)</f>
        <v/>
      </c>
    </row>
    <row r="192" spans="1:6" x14ac:dyDescent="0.3">
      <c r="A192" t="s">
        <v>193</v>
      </c>
      <c r="B192" t="s">
        <v>48</v>
      </c>
      <c r="C192" t="s">
        <v>200</v>
      </c>
      <c r="D192">
        <v>1.6879999999999999E-2</v>
      </c>
      <c r="E192" t="str">
        <f>_xll.qlSimpleQuote(SUBSTITUTE(A192&amp;"_"&amp;C192,"/","_"),D192,0,FALSE,$B$4)</f>
        <v>USD-LIBOR-6M_FRA_RATE_USD_6M_6M#0000</v>
      </c>
      <c r="F192" t="str">
        <f>_xll.ohRangeRetrieveError(E192)</f>
        <v/>
      </c>
    </row>
    <row r="193" spans="1:6" x14ac:dyDescent="0.3">
      <c r="A193" t="s">
        <v>193</v>
      </c>
      <c r="B193" t="s">
        <v>48</v>
      </c>
      <c r="C193" t="s">
        <v>201</v>
      </c>
      <c r="D193">
        <v>1.6500000000000001E-2</v>
      </c>
      <c r="E193" t="str">
        <f>_xll.qlSimpleQuote(SUBSTITUTE(A193&amp;"_"&amp;C193,"/","_"),D193,0,FALSE,$B$4)</f>
        <v>USD-LIBOR-6M_FRA_RATE_USD_9M_6M#0000</v>
      </c>
      <c r="F193" t="str">
        <f>_xll.ohRangeRetrieveError(E193)</f>
        <v/>
      </c>
    </row>
    <row r="194" spans="1:6" x14ac:dyDescent="0.3">
      <c r="A194" t="s">
        <v>193</v>
      </c>
      <c r="B194" t="s">
        <v>48</v>
      </c>
      <c r="C194" t="s">
        <v>202</v>
      </c>
      <c r="D194">
        <v>1.6209999999999999E-2</v>
      </c>
      <c r="E194" t="str">
        <f>_xll.qlSimpleQuote(SUBSTITUTE(A194&amp;"_"&amp;C194,"/","_"),D194,0,FALSE,$B$4)</f>
        <v>USD-LIBOR-6M_FRA_RATE_USD_12M_6M#0000</v>
      </c>
      <c r="F194" t="str">
        <f>_xll.ohRangeRetrieveError(E194)</f>
        <v/>
      </c>
    </row>
    <row r="195" spans="1:6" x14ac:dyDescent="0.3">
      <c r="A195" t="s">
        <v>193</v>
      </c>
      <c r="B195" t="s">
        <v>203</v>
      </c>
      <c r="C195" t="s">
        <v>204</v>
      </c>
      <c r="D195">
        <v>8.3710000000000002E-4</v>
      </c>
      <c r="E195" t="str">
        <f>_xll.qlSimpleQuote(SUBSTITUTE(A195&amp;"_"&amp;C195,"/","_"),D195,0,FALSE,$B$4)</f>
        <v>USD-LIBOR-6M_BASIS_SWAP_BASIS_SPREAD_3M_6M_USD_2Y#0000</v>
      </c>
      <c r="F195" t="str">
        <f>_xll.ohRangeRetrieveError(E195)</f>
        <v/>
      </c>
    </row>
    <row r="196" spans="1:6" x14ac:dyDescent="0.3">
      <c r="A196" t="s">
        <v>193</v>
      </c>
      <c r="B196" t="s">
        <v>203</v>
      </c>
      <c r="C196" t="s">
        <v>205</v>
      </c>
      <c r="D196">
        <v>5.934E-4</v>
      </c>
      <c r="E196" t="str">
        <f>_xll.qlSimpleQuote(SUBSTITUTE(A196&amp;"_"&amp;C196,"/","_"),D196,0,FALSE,$B$4)</f>
        <v>USD-LIBOR-6M_BASIS_SWAP_BASIS_SPREAD_3M_6M_USD_3Y#0000</v>
      </c>
      <c r="F196" t="str">
        <f>_xll.ohRangeRetrieveError(E196)</f>
        <v/>
      </c>
    </row>
    <row r="197" spans="1:6" x14ac:dyDescent="0.3">
      <c r="A197" t="s">
        <v>193</v>
      </c>
      <c r="B197" t="s">
        <v>203</v>
      </c>
      <c r="C197" t="s">
        <v>206</v>
      </c>
      <c r="D197">
        <v>5.9840000000000002E-4</v>
      </c>
      <c r="E197" t="str">
        <f>_xll.qlSimpleQuote(SUBSTITUTE(A197&amp;"_"&amp;C197,"/","_"),D197,0,FALSE,$B$4)</f>
        <v>USD-LIBOR-6M_BASIS_SWAP_BASIS_SPREAD_3M_6M_USD_4Y#0000</v>
      </c>
      <c r="F197" t="str">
        <f>_xll.ohRangeRetrieveError(E197)</f>
        <v/>
      </c>
    </row>
    <row r="198" spans="1:6" x14ac:dyDescent="0.3">
      <c r="A198" t="s">
        <v>193</v>
      </c>
      <c r="B198" t="s">
        <v>203</v>
      </c>
      <c r="C198" t="s">
        <v>207</v>
      </c>
      <c r="D198">
        <v>6.2299999999999996E-4</v>
      </c>
      <c r="E198" t="str">
        <f>_xll.qlSimpleQuote(SUBSTITUTE(A198&amp;"_"&amp;C198,"/","_"),D198,0,FALSE,$B$4)</f>
        <v>USD-LIBOR-6M_BASIS_SWAP_BASIS_SPREAD_3M_6M_USD_5Y#0000</v>
      </c>
      <c r="F198" t="str">
        <f>_xll.ohRangeRetrieveError(E198)</f>
        <v/>
      </c>
    </row>
    <row r="199" spans="1:6" x14ac:dyDescent="0.3">
      <c r="A199" t="s">
        <v>193</v>
      </c>
      <c r="B199" t="s">
        <v>203</v>
      </c>
      <c r="C199" t="s">
        <v>208</v>
      </c>
      <c r="D199">
        <v>6.5990000000000005E-4</v>
      </c>
      <c r="E199" t="str">
        <f>_xll.qlSimpleQuote(SUBSTITUTE(A199&amp;"_"&amp;C199,"/","_"),D199,0,FALSE,$B$4)</f>
        <v>USD-LIBOR-6M_BASIS_SWAP_BASIS_SPREAD_3M_6M_USD_6Y#0000</v>
      </c>
      <c r="F199" t="str">
        <f>_xll.ohRangeRetrieveError(E199)</f>
        <v/>
      </c>
    </row>
    <row r="200" spans="1:6" x14ac:dyDescent="0.3">
      <c r="A200" t="s">
        <v>193</v>
      </c>
      <c r="B200" t="s">
        <v>203</v>
      </c>
      <c r="C200" t="s">
        <v>209</v>
      </c>
      <c r="D200">
        <v>7.0540000000000002E-4</v>
      </c>
      <c r="E200" t="str">
        <f>_xll.qlSimpleQuote(SUBSTITUTE(A200&amp;"_"&amp;C200,"/","_"),D200,0,FALSE,$B$4)</f>
        <v>USD-LIBOR-6M_BASIS_SWAP_BASIS_SPREAD_3M_6M_USD_7Y#0000</v>
      </c>
      <c r="F200" t="str">
        <f>_xll.ohRangeRetrieveError(E200)</f>
        <v/>
      </c>
    </row>
    <row r="201" spans="1:6" x14ac:dyDescent="0.3">
      <c r="A201" t="s">
        <v>193</v>
      </c>
      <c r="B201" t="s">
        <v>203</v>
      </c>
      <c r="C201" t="s">
        <v>210</v>
      </c>
      <c r="D201">
        <v>7.2829999999999998E-4</v>
      </c>
      <c r="E201" t="str">
        <f>_xll.qlSimpleQuote(SUBSTITUTE(A201&amp;"_"&amp;C201,"/","_"),D201,0,FALSE,$B$4)</f>
        <v>USD-LIBOR-6M_BASIS_SWAP_BASIS_SPREAD_3M_6M_USD_8Y#0000</v>
      </c>
      <c r="F201" t="str">
        <f>_xll.ohRangeRetrieveError(E201)</f>
        <v/>
      </c>
    </row>
    <row r="202" spans="1:6" x14ac:dyDescent="0.3">
      <c r="A202" t="s">
        <v>193</v>
      </c>
      <c r="B202" t="s">
        <v>203</v>
      </c>
      <c r="C202" t="s">
        <v>211</v>
      </c>
      <c r="D202">
        <v>7.3729999999999998E-4</v>
      </c>
      <c r="E202" t="str">
        <f>_xll.qlSimpleQuote(SUBSTITUTE(A202&amp;"_"&amp;C202,"/","_"),D202,0,FALSE,$B$4)</f>
        <v>USD-LIBOR-6M_BASIS_SWAP_BASIS_SPREAD_3M_6M_USD_9Y#0000</v>
      </c>
      <c r="F202" t="str">
        <f>_xll.ohRangeRetrieveError(E202)</f>
        <v/>
      </c>
    </row>
    <row r="203" spans="1:6" x14ac:dyDescent="0.3">
      <c r="A203" t="s">
        <v>193</v>
      </c>
      <c r="B203" t="s">
        <v>203</v>
      </c>
      <c r="C203" t="s">
        <v>212</v>
      </c>
      <c r="D203">
        <v>7.6380000000000003E-4</v>
      </c>
      <c r="E203" t="str">
        <f>_xll.qlSimpleQuote(SUBSTITUTE(A203&amp;"_"&amp;C203,"/","_"),D203,0,FALSE,$B$4)</f>
        <v>USD-LIBOR-6M_BASIS_SWAP_BASIS_SPREAD_3M_6M_USD_10Y#0000</v>
      </c>
      <c r="F203" t="str">
        <f>_xll.ohRangeRetrieveError(E203)</f>
        <v/>
      </c>
    </row>
    <row r="204" spans="1:6" x14ac:dyDescent="0.3">
      <c r="A204" t="s">
        <v>193</v>
      </c>
      <c r="B204" t="s">
        <v>203</v>
      </c>
      <c r="C204" t="s">
        <v>213</v>
      </c>
      <c r="D204">
        <v>7.8739999999999995E-4</v>
      </c>
      <c r="E204" t="str">
        <f>_xll.qlSimpleQuote(SUBSTITUTE(A204&amp;"_"&amp;C204,"/","_"),D204,0,FALSE,$B$4)</f>
        <v>USD-LIBOR-6M_BASIS_SWAP_BASIS_SPREAD_3M_6M_USD_11Y#0000</v>
      </c>
      <c r="F204" t="str">
        <f>_xll.ohRangeRetrieveError(E204)</f>
        <v/>
      </c>
    </row>
    <row r="205" spans="1:6" x14ac:dyDescent="0.3">
      <c r="A205" t="s">
        <v>193</v>
      </c>
      <c r="B205" t="s">
        <v>203</v>
      </c>
      <c r="C205" t="s">
        <v>214</v>
      </c>
      <c r="D205">
        <v>8.0489999999999999E-4</v>
      </c>
      <c r="E205" t="str">
        <f>_xll.qlSimpleQuote(SUBSTITUTE(A205&amp;"_"&amp;C205,"/","_"),D205,0,FALSE,$B$4)</f>
        <v>USD-LIBOR-6M_BASIS_SWAP_BASIS_SPREAD_3M_6M_USD_12Y#0000</v>
      </c>
      <c r="F205" t="str">
        <f>_xll.ohRangeRetrieveError(E205)</f>
        <v/>
      </c>
    </row>
    <row r="206" spans="1:6" x14ac:dyDescent="0.3">
      <c r="A206" t="s">
        <v>193</v>
      </c>
      <c r="B206" t="s">
        <v>203</v>
      </c>
      <c r="C206" t="s">
        <v>215</v>
      </c>
      <c r="D206">
        <v>8.2660000000000003E-4</v>
      </c>
      <c r="E206" t="str">
        <f>_xll.qlSimpleQuote(SUBSTITUTE(A206&amp;"_"&amp;C206,"/","_"),D206,0,FALSE,$B$4)</f>
        <v>USD-LIBOR-6M_BASIS_SWAP_BASIS_SPREAD_3M_6M_USD_15Y#0000</v>
      </c>
      <c r="F206" t="str">
        <f>_xll.ohRangeRetrieveError(E206)</f>
        <v/>
      </c>
    </row>
    <row r="207" spans="1:6" x14ac:dyDescent="0.3">
      <c r="A207" t="s">
        <v>193</v>
      </c>
      <c r="B207" t="s">
        <v>203</v>
      </c>
      <c r="C207" t="s">
        <v>216</v>
      </c>
      <c r="D207">
        <v>8.3810000000000004E-4</v>
      </c>
      <c r="E207" t="str">
        <f>_xll.qlSimpleQuote(SUBSTITUTE(A207&amp;"_"&amp;C207,"/","_"),D207,0,FALSE,$B$4)</f>
        <v>USD-LIBOR-6M_BASIS_SWAP_BASIS_SPREAD_3M_6M_USD_20Y#0000</v>
      </c>
      <c r="F207" t="str">
        <f>_xll.ohRangeRetrieveError(E207)</f>
        <v/>
      </c>
    </row>
    <row r="208" spans="1:6" x14ac:dyDescent="0.3">
      <c r="A208" t="s">
        <v>193</v>
      </c>
      <c r="B208" t="s">
        <v>203</v>
      </c>
      <c r="C208" t="s">
        <v>217</v>
      </c>
      <c r="D208">
        <v>8.6700000000000004E-4</v>
      </c>
      <c r="E208" t="str">
        <f>_xll.qlSimpleQuote(SUBSTITUTE(A208&amp;"_"&amp;C208,"/","_"),D208,0,FALSE,$B$4)</f>
        <v>USD-LIBOR-6M_BASIS_SWAP_BASIS_SPREAD_3M_6M_USD_25Y#0000</v>
      </c>
      <c r="F208" t="str">
        <f>_xll.ohRangeRetrieveError(E208)</f>
        <v/>
      </c>
    </row>
    <row r="209" spans="1:6" x14ac:dyDescent="0.3">
      <c r="A209" t="s">
        <v>193</v>
      </c>
      <c r="B209" t="s">
        <v>203</v>
      </c>
      <c r="C209" t="s">
        <v>218</v>
      </c>
      <c r="D209">
        <v>8.7540000000000003E-4</v>
      </c>
      <c r="E209" t="str">
        <f>_xll.qlSimpleQuote(SUBSTITUTE(A209&amp;"_"&amp;C209,"/","_"),D209,0,FALSE,$B$4)</f>
        <v>USD-LIBOR-6M_BASIS_SWAP_BASIS_SPREAD_3M_6M_USD_30Y#0000</v>
      </c>
      <c r="F209" t="str">
        <f>_xll.ohRangeRetrieveError(E209)</f>
        <v/>
      </c>
    </row>
    <row r="211" spans="1:6" x14ac:dyDescent="0.3">
      <c r="A211" t="s">
        <v>223</v>
      </c>
      <c r="B211">
        <f>COUNTA(E7:E209)</f>
        <v>203</v>
      </c>
    </row>
    <row r="212" spans="1:6" x14ac:dyDescent="0.3">
      <c r="A212" t="s">
        <v>224</v>
      </c>
      <c r="B212">
        <f>SUMPRODUCT(--(F7:F209&lt;&gt;""))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E82E-3BDF-4A86-B187-B4769C965664}">
  <dimension ref="A1:J31"/>
  <sheetViews>
    <sheetView workbookViewId="0"/>
  </sheetViews>
  <sheetFormatPr defaultRowHeight="14.4" x14ac:dyDescent="0.3"/>
  <cols>
    <col min="1" max="1" width="46.77734375" customWidth="1"/>
    <col min="2" max="8" width="24.77734375" customWidth="1"/>
  </cols>
  <sheetData>
    <row r="1" spans="1:8" x14ac:dyDescent="0.3">
      <c r="A1" s="2" t="s">
        <v>225</v>
      </c>
    </row>
    <row r="2" spans="1:8" x14ac:dyDescent="0.3">
      <c r="A2" t="s">
        <v>226</v>
      </c>
    </row>
    <row r="4" spans="1:8" x14ac:dyDescent="0.3">
      <c r="A4" s="2" t="s">
        <v>227</v>
      </c>
      <c r="B4" s="2" t="s">
        <v>228</v>
      </c>
      <c r="C4" s="2" t="s">
        <v>8</v>
      </c>
    </row>
    <row r="5" spans="1:8" x14ac:dyDescent="0.3">
      <c r="A5" t="s">
        <v>139</v>
      </c>
      <c r="B5" t="str">
        <f>_xll.qlRelinkableHandleYieldTermStructure("H_USD-FedFunds","",FALSE,MarketData!$B$4)</f>
        <v>H_USD-FedFunds#0000</v>
      </c>
      <c r="C5" t="str">
        <f>_xll.ohRangeRetrieveError(B5)</f>
        <v/>
      </c>
    </row>
    <row r="6" spans="1:8" x14ac:dyDescent="0.3">
      <c r="A6" t="s">
        <v>9</v>
      </c>
      <c r="B6" t="str">
        <f>_xll.qlRelinkableHandleYieldTermStructure("H_EUR-EONIA","",FALSE,MarketData!$B$4)</f>
        <v>H_EUR-EONIA#0000</v>
      </c>
      <c r="C6" t="str">
        <f>_xll.ohRangeRetrieveError(B6)</f>
        <v/>
      </c>
    </row>
    <row r="7" spans="1:8" x14ac:dyDescent="0.3">
      <c r="A7" t="s">
        <v>175</v>
      </c>
      <c r="B7" t="str">
        <f>_xll.qlRelinkableHandleYieldTermStructure("H_USD-LIBOR-3M","",FALSE,MarketData!$B$4)</f>
        <v>H_USD-LIBOR-3M#0000</v>
      </c>
      <c r="C7" t="str">
        <f>_xll.ohRangeRetrieveError(B7)</f>
        <v/>
      </c>
    </row>
    <row r="8" spans="1:8" x14ac:dyDescent="0.3">
      <c r="A8" t="s">
        <v>193</v>
      </c>
      <c r="B8" t="str">
        <f>_xll.qlRelinkableHandleYieldTermStructure("H_USD-LIBOR-6M","",FALSE,MarketData!$B$4)</f>
        <v>H_USD-LIBOR-6M#0000</v>
      </c>
      <c r="C8" t="str">
        <f>_xll.ohRangeRetrieveError(B8)</f>
        <v/>
      </c>
    </row>
    <row r="9" spans="1:8" x14ac:dyDescent="0.3">
      <c r="A9" t="s">
        <v>76</v>
      </c>
      <c r="B9" t="str">
        <f>_xll.qlRelinkableHandleYieldTermStructure("H_EUR-EURIBOR-6M","",FALSE,MarketData!$B$4)</f>
        <v>H_EUR-EURIBOR-6M#0000</v>
      </c>
      <c r="C9" t="str">
        <f>_xll.ohRangeRetrieveError(B9)</f>
        <v/>
      </c>
    </row>
    <row r="10" spans="1:8" x14ac:dyDescent="0.3">
      <c r="A10" t="s">
        <v>46</v>
      </c>
      <c r="B10" t="str">
        <f>_xll.qlRelinkableHandleYieldTermStructure("H_EUR-EURIBOR-3M","",FALSE,MarketData!$B$4)</f>
        <v>H_EUR-EURIBOR-3M#0000</v>
      </c>
      <c r="C10" t="str">
        <f>_xll.ohRangeRetrieveError(B10)</f>
        <v/>
      </c>
    </row>
    <row r="11" spans="1:8" x14ac:dyDescent="0.3">
      <c r="A11" t="s">
        <v>103</v>
      </c>
      <c r="B11" t="str">
        <f>_xll.qlRelinkableHandleYieldTermStructure("H_EUR-IN-USD","",FALSE,MarketData!$B$4)</f>
        <v>H_EUR-IN-USD#0000</v>
      </c>
      <c r="C11" t="str">
        <f>_xll.ohRangeRetrieveError(B11)</f>
        <v/>
      </c>
    </row>
    <row r="13" spans="1:8" x14ac:dyDescent="0.3">
      <c r="A13" s="2" t="s">
        <v>229</v>
      </c>
      <c r="B13" s="2" t="s">
        <v>228</v>
      </c>
      <c r="C13" s="2" t="s">
        <v>8</v>
      </c>
      <c r="D13" s="2" t="s">
        <v>230</v>
      </c>
      <c r="E13" s="2" t="s">
        <v>231</v>
      </c>
      <c r="F13" s="2" t="s">
        <v>232</v>
      </c>
      <c r="G13" s="2" t="s">
        <v>233</v>
      </c>
      <c r="H13" s="2" t="s">
        <v>234</v>
      </c>
    </row>
    <row r="14" spans="1:8" x14ac:dyDescent="0.3">
      <c r="A14" t="s">
        <v>139</v>
      </c>
      <c r="B14" t="str">
        <f>_xll.qlOvernightIndex("USD-FedFunds","FedFunds",0,"USD","UnitedStates::FederalReserve","Actual/360",$B$5,FALSE,MarketData!$B$4)</f>
        <v>USD-FedFunds#0000</v>
      </c>
      <c r="C14" t="str">
        <f>_xll.ohRangeRetrieveError(B14)</f>
        <v/>
      </c>
      <c r="D14" t="str">
        <f>_xll.qlIndexName(B14)</f>
        <v>FedFundsON Actual/360</v>
      </c>
      <c r="E14" t="str">
        <f>_xll.qlIndexFixingCalendar(B14)</f>
        <v>Federal Reserve Bankwire System</v>
      </c>
      <c r="F14">
        <f>_xll.qlInterestRateIndexFixingDays(B14)</f>
        <v>0</v>
      </c>
      <c r="G14" t="str">
        <f>_xll.qlInterestRateIndexDayCounter(B14)</f>
        <v>Actual/360</v>
      </c>
      <c r="H14" s="1">
        <f>_xll.qlInterestRateIndexValueDate(B14,DATE(2019,8,1))</f>
        <v>43678</v>
      </c>
    </row>
    <row r="15" spans="1:8" x14ac:dyDescent="0.3">
      <c r="A15" t="s">
        <v>9</v>
      </c>
      <c r="B15" t="str">
        <f>_xll.qlEonia("EUR-EONIA",$B$6,FALSE,MarketData!$B$4)</f>
        <v>EUR-EONIA#0000</v>
      </c>
      <c r="C15" t="str">
        <f>_xll.ohRangeRetrieveError(B15)</f>
        <v/>
      </c>
      <c r="D15" t="str">
        <f>_xll.qlIndexName(B15)</f>
        <v>EoniaON Actual/360</v>
      </c>
      <c r="E15" t="str">
        <f>_xll.qlIndexFixingCalendar(B15)</f>
        <v>TARGET</v>
      </c>
      <c r="F15">
        <f>_xll.qlInterestRateIndexFixingDays(B15)</f>
        <v>0</v>
      </c>
      <c r="G15" t="str">
        <f>_xll.qlInterestRateIndexDayCounter(B15)</f>
        <v>Actual/360</v>
      </c>
      <c r="H15" s="1">
        <f>_xll.qlInterestRateIndexValueDate(B15,DATE(2019,8,1))</f>
        <v>43678</v>
      </c>
    </row>
    <row r="16" spans="1:8" x14ac:dyDescent="0.3">
      <c r="A16" t="s">
        <v>175</v>
      </c>
      <c r="B16" t="str">
        <f>_xll.qlLibor("USD-LIBOR-3M","USD","3M",$B$7,FALSE,MarketData!$B$4)</f>
        <v>USD-LIBOR-3M#0000</v>
      </c>
      <c r="C16" t="str">
        <f>_xll.ohRangeRetrieveError(B16)</f>
        <v/>
      </c>
      <c r="D16" t="str">
        <f>_xll.qlIndexName(B16)</f>
        <v>USDLibor3M Actual/360</v>
      </c>
      <c r="E16" t="str">
        <f>_xll.qlIndexFixingCalendar(B16)</f>
        <v>London stock exchange</v>
      </c>
      <c r="F16">
        <f>_xll.qlInterestRateIndexFixingDays(B16)</f>
        <v>2</v>
      </c>
      <c r="G16" t="str">
        <f>_xll.qlInterestRateIndexDayCounter(B16)</f>
        <v>Actual/360</v>
      </c>
      <c r="H16" s="1">
        <f>_xll.qlInterestRateIndexValueDate(B16,DATE(2019,8,1))</f>
        <v>43682</v>
      </c>
    </row>
    <row r="17" spans="1:10" x14ac:dyDescent="0.3">
      <c r="A17" t="s">
        <v>193</v>
      </c>
      <c r="B17" t="str">
        <f>_xll.qlLibor("USD-LIBOR-6M","USD","6M",$B$8,FALSE,MarketData!$B$4)</f>
        <v>USD-LIBOR-6M#0000</v>
      </c>
      <c r="C17" t="str">
        <f>_xll.ohRangeRetrieveError(B17)</f>
        <v/>
      </c>
      <c r="D17" t="str">
        <f>_xll.qlIndexName(B17)</f>
        <v>USDLibor6M Actual/360</v>
      </c>
      <c r="E17" t="str">
        <f>_xll.qlIndexFixingCalendar(B17)</f>
        <v>London stock exchange</v>
      </c>
      <c r="F17">
        <f>_xll.qlInterestRateIndexFixingDays(B17)</f>
        <v>2</v>
      </c>
      <c r="G17" t="str">
        <f>_xll.qlInterestRateIndexDayCounter(B17)</f>
        <v>Actual/360</v>
      </c>
      <c r="H17" s="1">
        <f>_xll.qlInterestRateIndexValueDate(B17,DATE(2019,8,1))</f>
        <v>43682</v>
      </c>
    </row>
    <row r="18" spans="1:10" x14ac:dyDescent="0.3">
      <c r="A18" t="s">
        <v>46</v>
      </c>
      <c r="B18" t="str">
        <f>_xll.qlEuribor("EUR-EURIBOR-3M","3M",$B$10,FALSE,MarketData!$B$4)</f>
        <v>EUR-EURIBOR-3M#0000</v>
      </c>
      <c r="C18" t="str">
        <f>_xll.ohRangeRetrieveError(B18)</f>
        <v/>
      </c>
      <c r="D18" t="str">
        <f>_xll.qlIndexName(B18)</f>
        <v>Euribor3M Actual/360</v>
      </c>
      <c r="E18" t="str">
        <f>_xll.qlIndexFixingCalendar(B18)</f>
        <v>TARGET</v>
      </c>
      <c r="F18">
        <f>_xll.qlInterestRateIndexFixingDays(B18)</f>
        <v>2</v>
      </c>
      <c r="G18" t="str">
        <f>_xll.qlInterestRateIndexDayCounter(B18)</f>
        <v>Actual/360</v>
      </c>
      <c r="H18" s="1">
        <f>_xll.qlInterestRateIndexValueDate(B18,DATE(2019,8,1))</f>
        <v>43682</v>
      </c>
    </row>
    <row r="19" spans="1:10" x14ac:dyDescent="0.3">
      <c r="A19" t="s">
        <v>76</v>
      </c>
      <c r="B19" t="str">
        <f>_xll.qlEuribor("EUR-EURIBOR-6M","6M",$B$9,FALSE,MarketData!$B$4)</f>
        <v>EUR-EURIBOR-6M#0000</v>
      </c>
      <c r="C19" t="str">
        <f>_xll.ohRangeRetrieveError(B19)</f>
        <v/>
      </c>
      <c r="D19" t="str">
        <f>_xll.qlIndexName(B19)</f>
        <v>Euribor6M Actual/360</v>
      </c>
      <c r="E19" t="str">
        <f>_xll.qlIndexFixingCalendar(B19)</f>
        <v>TARGET</v>
      </c>
      <c r="F19">
        <f>_xll.qlInterestRateIndexFixingDays(B19)</f>
        <v>2</v>
      </c>
      <c r="G19" t="str">
        <f>_xll.qlInterestRateIndexDayCounter(B19)</f>
        <v>Actual/360</v>
      </c>
      <c r="H19" s="1">
        <f>_xll.qlInterestRateIndexValueDate(B19,DATE(2019,8,1))</f>
        <v>43682</v>
      </c>
    </row>
    <row r="21" spans="1:10" x14ac:dyDescent="0.3">
      <c r="A21" s="2" t="s">
        <v>235</v>
      </c>
      <c r="B21" s="2" t="s">
        <v>228</v>
      </c>
      <c r="C21" s="2" t="s">
        <v>8</v>
      </c>
      <c r="D21" s="2" t="s">
        <v>230</v>
      </c>
      <c r="E21" s="2" t="s">
        <v>236</v>
      </c>
      <c r="F21" s="2" t="s">
        <v>237</v>
      </c>
    </row>
    <row r="22" spans="1:10" x14ac:dyDescent="0.3">
      <c r="A22" t="s">
        <v>221</v>
      </c>
      <c r="B22" t="str">
        <f>_xll.qlFxIndex("FX-ECB-EUR-USD","ECB",2,"EUR","USD","TARGET",MarketData!$E$93,$B$11,$B$5,TRUE,FALSE,MarketData!$B$4)</f>
        <v>FX-ECB-EUR-USD#0000</v>
      </c>
      <c r="C22" t="str">
        <f>_xll.ohRangeRetrieveError(B22)</f>
        <v/>
      </c>
      <c r="D22" t="str">
        <f>_xll.qlIndexName(B22)</f>
        <v>ECB EUR/USD</v>
      </c>
      <c r="E22" t="str">
        <f>_xll.qlFxIndexSourceCurrency(B22)</f>
        <v>EUR</v>
      </c>
      <c r="F22" t="str">
        <f>_xll.qlFxIndexTargetCurrency(B22)</f>
        <v>USD</v>
      </c>
      <c r="H22" t="s">
        <v>243</v>
      </c>
      <c r="I22" t="str">
        <f>_xll.qlSimpleQuote("FX_RATE_USD_EUR",1/MarketData!$D$93,0,FALSE,MarketData!$B$4)</f>
        <v>FX_RATE_USD_EUR#0000</v>
      </c>
    </row>
    <row r="23" spans="1:10" x14ac:dyDescent="0.3">
      <c r="A23" t="s">
        <v>238</v>
      </c>
      <c r="B23" t="str">
        <f>_xll.qlFxIndex("FX-ECB-USD-EUR","ECB",2,"USD","EUR","TARGET",I22,$B$5,$B$11,TRUE,FALSE,MarketData!$B$4)</f>
        <v>FX-ECB-USD-EUR#0000</v>
      </c>
      <c r="C23" t="str">
        <f>_xll.ohRangeRetrieveError(B23)</f>
        <v/>
      </c>
      <c r="D23" t="str">
        <f>_xll.qlIndexName(B23)</f>
        <v>ECB USD/EUR</v>
      </c>
      <c r="E23" t="str">
        <f>_xll.qlFxIndexSourceCurrency(B23)</f>
        <v>USD</v>
      </c>
      <c r="F23" t="str">
        <f>_xll.qlFxIndexTargetCurrency(B23)</f>
        <v>EUR</v>
      </c>
      <c r="H23" t="s">
        <v>244</v>
      </c>
      <c r="I23">
        <f>_xll.qlIndexFixing(B23,DATE(2019,8,1),FALSE,B31)</f>
        <v>0.90604330887016404</v>
      </c>
      <c r="J23">
        <f>I23-1/1.1037</f>
        <v>0</v>
      </c>
    </row>
    <row r="25" spans="1:10" x14ac:dyDescent="0.3">
      <c r="A25" s="2" t="s">
        <v>219</v>
      </c>
      <c r="B25" s="2" t="s">
        <v>220</v>
      </c>
      <c r="C25" s="2" t="s">
        <v>6</v>
      </c>
      <c r="D25" s="2" t="s">
        <v>239</v>
      </c>
      <c r="E25" s="2" t="s">
        <v>8</v>
      </c>
      <c r="F25" s="2" t="s">
        <v>240</v>
      </c>
      <c r="G25" s="2" t="s">
        <v>241</v>
      </c>
    </row>
    <row r="26" spans="1:10" x14ac:dyDescent="0.3">
      <c r="A26" s="1">
        <f>MarketData!H7</f>
        <v>43678</v>
      </c>
      <c r="B26" t="str">
        <f>MarketData!I7</f>
        <v>FX-ECB-EUR-USD</v>
      </c>
      <c r="C26">
        <f>MarketData!J7</f>
        <v>1.1036999999999999</v>
      </c>
      <c r="D26" t="b">
        <f>IF(WEEKDAY(A26,2)&gt;5,"skipped (weekend)",_xll.qlIndexAddFixings(INDEX($B$14:$B$22,MATCH(B26,$A$14:$A$22,0)),A26,C26,TRUE))</f>
        <v>1</v>
      </c>
      <c r="E26" t="str">
        <f>IF(WEEKDAY(A26,2)&gt;5,"",_xll.ohRangeRetrieveError(D26))</f>
        <v/>
      </c>
      <c r="F26">
        <f>IF(WEEKDAY(A26,2)&gt;5,"",_xll.qlIndexFixing(INDEX($B$14:$B$22,MATCH(B26,$A$14:$A$22,0)),A26,FALSE,D26))</f>
        <v>1.1036999999999999</v>
      </c>
      <c r="G26">
        <f>IF(WEEKDAY(A26,2)&gt;5,"",F26-C26)</f>
        <v>0</v>
      </c>
    </row>
    <row r="27" spans="1:10" x14ac:dyDescent="0.3">
      <c r="A27" s="1">
        <f>MarketData!H8</f>
        <v>43680</v>
      </c>
      <c r="B27" t="str">
        <f>MarketData!I8</f>
        <v>USD-LIBOR-6M</v>
      </c>
      <c r="C27">
        <f>MarketData!J8</f>
        <v>2.2268799999999998E-2</v>
      </c>
      <c r="D27" t="str">
        <f>IF(WEEKDAY(A27,2)&gt;5,"skipped (weekend)",_xll.qlIndexAddFixings(INDEX($B$14:$B$22,MATCH(B27,$A$14:$A$22,0)),A27,C27,TRUE))</f>
        <v>skipped (weekend)</v>
      </c>
      <c r="E27" t="str">
        <f>IF(WEEKDAY(A27,2)&gt;5,"",_xll.ohRangeRetrieveError(D27))</f>
        <v/>
      </c>
      <c r="F27" t="str">
        <f>IF(WEEKDAY(A27,2)&gt;5,"",_xll.qlIndexFixing(INDEX($B$14:$B$22,MATCH(B27,$A$14:$A$22,0)),A27,FALSE,D27))</f>
        <v/>
      </c>
      <c r="G27" t="str">
        <f>IF(WEEKDAY(A27,2)&gt;5,"",F27-C27)</f>
        <v/>
      </c>
    </row>
    <row r="28" spans="1:10" x14ac:dyDescent="0.3">
      <c r="A28" s="1">
        <f>MarketData!H9</f>
        <v>43678</v>
      </c>
      <c r="B28" t="str">
        <f>MarketData!I9</f>
        <v>USD-LIBOR-6M</v>
      </c>
      <c r="C28">
        <f>MarketData!J9</f>
        <v>2.2268799999999998E-2</v>
      </c>
      <c r="D28" t="b">
        <f>IF(WEEKDAY(A28,2)&gt;5,"skipped (weekend)",_xll.qlIndexAddFixings(INDEX($B$14:$B$22,MATCH(B28,$A$14:$A$22,0)),A28,C28,TRUE))</f>
        <v>1</v>
      </c>
      <c r="E28" t="str">
        <f>IF(WEEKDAY(A28,2)&gt;5,"",_xll.ohRangeRetrieveError(D28))</f>
        <v/>
      </c>
      <c r="F28">
        <f>IF(WEEKDAY(A28,2)&gt;5,"",_xll.qlIndexFixing(INDEX($B$14:$B$22,MATCH(B28,$A$14:$A$22,0)),A28,FALSE,D28))</f>
        <v>2.2268799999999998E-2</v>
      </c>
      <c r="G28">
        <f>IF(WEEKDAY(A28,2)&gt;5,"",F28-C28)</f>
        <v>0</v>
      </c>
    </row>
    <row r="29" spans="1:10" x14ac:dyDescent="0.3">
      <c r="A29" s="1">
        <f>MarketData!H10</f>
        <v>43678</v>
      </c>
      <c r="B29" t="str">
        <f>MarketData!I10</f>
        <v>EUR-EURIBOR-6M</v>
      </c>
      <c r="C29">
        <f>MarketData!J10</f>
        <v>-3.63E-3</v>
      </c>
      <c r="D29" t="b">
        <f>IF(WEEKDAY(A29,2)&gt;5,"skipped (weekend)",_xll.qlIndexAddFixings(INDEX($B$14:$B$22,MATCH(B29,$A$14:$A$22,0)),A29,C29,TRUE))</f>
        <v>1</v>
      </c>
      <c r="E29" t="str">
        <f>IF(WEEKDAY(A29,2)&gt;5,"",_xll.ohRangeRetrieveError(D29))</f>
        <v/>
      </c>
      <c r="F29">
        <f>IF(WEEKDAY(A29,2)&gt;5,"",_xll.qlIndexFixing(INDEX($B$14:$B$22,MATCH(B29,$A$14:$A$22,0)),A29,FALSE,D29))</f>
        <v>-3.63E-3</v>
      </c>
      <c r="G29">
        <f>IF(WEEKDAY(A29,2)&gt;5,"",F29-C29)</f>
        <v>0</v>
      </c>
    </row>
    <row r="31" spans="1:10" x14ac:dyDescent="0.3">
      <c r="A31" t="s">
        <v>242</v>
      </c>
      <c r="B31" t="b">
        <f>AND(COUNTIF(D26:D29,TRUE)=3,SUMPRODUCT(--(C14:C20&lt;&gt;""))=0,C22="",C23="")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B7D5-9D8A-4A07-9151-3CA0E5F7B898}">
  <dimension ref="A1:F61"/>
  <sheetViews>
    <sheetView workbookViewId="0"/>
  </sheetViews>
  <sheetFormatPr defaultRowHeight="14.4" x14ac:dyDescent="0.3"/>
  <cols>
    <col min="1" max="1" width="30.77734375" customWidth="1"/>
    <col min="2" max="2" width="60.77734375" customWidth="1"/>
    <col min="3" max="6" width="22.77734375" customWidth="1"/>
  </cols>
  <sheetData>
    <row r="1" spans="1:6" x14ac:dyDescent="0.3">
      <c r="A1" s="2" t="s">
        <v>245</v>
      </c>
    </row>
    <row r="2" spans="1:6" x14ac:dyDescent="0.3">
      <c r="A2" t="s">
        <v>246</v>
      </c>
    </row>
    <row r="4" spans="1:6" x14ac:dyDescent="0.3">
      <c r="A4" s="2" t="s">
        <v>4</v>
      </c>
      <c r="B4" s="2" t="s">
        <v>247</v>
      </c>
      <c r="C4" s="2" t="s">
        <v>248</v>
      </c>
      <c r="D4" s="2" t="s">
        <v>249</v>
      </c>
      <c r="E4" s="2" t="s">
        <v>250</v>
      </c>
      <c r="F4" s="2" t="s">
        <v>8</v>
      </c>
    </row>
    <row r="5" spans="1:6" x14ac:dyDescent="0.3">
      <c r="A5" t="s">
        <v>10</v>
      </c>
      <c r="B5" t="s">
        <v>140</v>
      </c>
      <c r="C5" t="str">
        <f>MarketData!$E$126</f>
        <v>USD-FedFunds_MM_RATE_USD_0D_1D#0000</v>
      </c>
      <c r="E5" t="str">
        <f>_xll.qlDepositRateHelper2("FF_DEP_1D",C5,"1D",0,"UnitedStates::FederalReserve","Following",FALSE,"Actual/360",FALSE,Indexes!$B$31)</f>
        <v>FF_DEP_1D#0000</v>
      </c>
      <c r="F5" t="str">
        <f>_xll.ohRangeRetrieveError(E5)</f>
        <v/>
      </c>
    </row>
    <row r="6" spans="1:6" x14ac:dyDescent="0.3">
      <c r="A6" t="s">
        <v>12</v>
      </c>
      <c r="B6" t="s">
        <v>141</v>
      </c>
      <c r="C6" t="str">
        <f>MarketData!$E$127</f>
        <v>USD-FedFunds_IR_SWAP_RATE_USD_2D_1D_1W#0000</v>
      </c>
      <c r="E6" t="str">
        <f>_xll.qlQxOISRateHelper("FF_OIS_1W",2,"1W",C6,Indexes!$B$14,"Actual/360","UnitedStates::FederalReserve",2,"Annual","Following","Following","Backward","",TRUE,FALSE,FALSE,Indexes!$B$31)</f>
        <v>FF_OIS_1W#0000</v>
      </c>
      <c r="F6" t="str">
        <f>_xll.ohRangeRetrieveError(E6)</f>
        <v/>
      </c>
    </row>
    <row r="7" spans="1:6" x14ac:dyDescent="0.3">
      <c r="A7" t="s">
        <v>12</v>
      </c>
      <c r="B7" t="s">
        <v>142</v>
      </c>
      <c r="C7" t="str">
        <f>MarketData!$E$128</f>
        <v>USD-FedFunds_IR_SWAP_RATE_USD_2D_1D_2W#0000</v>
      </c>
      <c r="E7" t="str">
        <f>_xll.qlQxOISRateHelper("FF_OIS_2W",2,"2W",C7,Indexes!$B$14,"Actual/360","UnitedStates::FederalReserve",2,"Annual","Following","Following","Backward","",TRUE,FALSE,FALSE,Indexes!$B$31)</f>
        <v>FF_OIS_2W#0000</v>
      </c>
      <c r="F7" t="str">
        <f>_xll.ohRangeRetrieveError(E7)</f>
        <v/>
      </c>
    </row>
    <row r="8" spans="1:6" x14ac:dyDescent="0.3">
      <c r="A8" t="s">
        <v>12</v>
      </c>
      <c r="B8" t="s">
        <v>143</v>
      </c>
      <c r="C8" t="str">
        <f>MarketData!$E$129</f>
        <v>USD-FedFunds_IR_SWAP_RATE_USD_2D_1D_3W#0000</v>
      </c>
      <c r="E8" t="str">
        <f>_xll.qlQxOISRateHelper("FF_OIS_3W",2,"3W",C8,Indexes!$B$14,"Actual/360","UnitedStates::FederalReserve",2,"Annual","Following","Following","Backward","",TRUE,FALSE,FALSE,Indexes!$B$31)</f>
        <v>FF_OIS_3W#0000</v>
      </c>
      <c r="F8" t="str">
        <f>_xll.ohRangeRetrieveError(E8)</f>
        <v/>
      </c>
    </row>
    <row r="9" spans="1:6" x14ac:dyDescent="0.3">
      <c r="A9" t="s">
        <v>12</v>
      </c>
      <c r="B9" t="s">
        <v>144</v>
      </c>
      <c r="C9" t="str">
        <f>MarketData!$E$130</f>
        <v>USD-FedFunds_IR_SWAP_RATE_USD_2D_1D_1M#0000</v>
      </c>
      <c r="E9" t="str">
        <f>_xll.qlQxOISRateHelper("FF_OIS_1M",2,"1M",C9,Indexes!$B$14,"Actual/360","UnitedStates::FederalReserve",2,"Annual","Following","Following","Backward","",TRUE,FALSE,FALSE,Indexes!$B$31)</f>
        <v>FF_OIS_1M#0000</v>
      </c>
      <c r="F9" t="str">
        <f>_xll.ohRangeRetrieveError(E9)</f>
        <v/>
      </c>
    </row>
    <row r="10" spans="1:6" x14ac:dyDescent="0.3">
      <c r="A10" t="s">
        <v>12</v>
      </c>
      <c r="B10" t="s">
        <v>145</v>
      </c>
      <c r="C10" t="str">
        <f>MarketData!$E$131</f>
        <v>USD-FedFunds_IR_SWAP_RATE_USD_2D_1D_2M#0000</v>
      </c>
      <c r="E10" t="str">
        <f>_xll.qlQxOISRateHelper("FF_OIS_2M",2,"2M",C10,Indexes!$B$14,"Actual/360","UnitedStates::FederalReserve",2,"Annual","Following","Following","Backward","",TRUE,FALSE,FALSE,Indexes!$B$31)</f>
        <v>FF_OIS_2M#0000</v>
      </c>
      <c r="F10" t="str">
        <f>_xll.ohRangeRetrieveError(E10)</f>
        <v/>
      </c>
    </row>
    <row r="11" spans="1:6" x14ac:dyDescent="0.3">
      <c r="A11" t="s">
        <v>12</v>
      </c>
      <c r="B11" t="s">
        <v>146</v>
      </c>
      <c r="C11" t="str">
        <f>MarketData!$E$132</f>
        <v>USD-FedFunds_IR_SWAP_RATE_USD_2D_1D_3M#0000</v>
      </c>
      <c r="E11" t="str">
        <f>_xll.qlQxOISRateHelper("FF_OIS_3M",2,"3M",C11,Indexes!$B$14,"Actual/360","UnitedStates::FederalReserve",2,"Annual","Following","Following","Backward","",TRUE,FALSE,FALSE,Indexes!$B$31)</f>
        <v>FF_OIS_3M#0000</v>
      </c>
      <c r="F11" t="str">
        <f>_xll.ohRangeRetrieveError(E11)</f>
        <v/>
      </c>
    </row>
    <row r="12" spans="1:6" x14ac:dyDescent="0.3">
      <c r="A12" t="s">
        <v>12</v>
      </c>
      <c r="B12" t="s">
        <v>147</v>
      </c>
      <c r="C12" t="str">
        <f>MarketData!$E$133</f>
        <v>USD-FedFunds_IR_SWAP_RATE_USD_2D_1D_4M#0000</v>
      </c>
      <c r="E12" t="str">
        <f>_xll.qlQxOISRateHelper("FF_OIS_4M",2,"4M",C12,Indexes!$B$14,"Actual/360","UnitedStates::FederalReserve",2,"Annual","Following","Following","Backward","",TRUE,FALSE,FALSE,Indexes!$B$31)</f>
        <v>FF_OIS_4M#0000</v>
      </c>
      <c r="F12" t="str">
        <f>_xll.ohRangeRetrieveError(E12)</f>
        <v/>
      </c>
    </row>
    <row r="13" spans="1:6" x14ac:dyDescent="0.3">
      <c r="A13" t="s">
        <v>12</v>
      </c>
      <c r="B13" t="s">
        <v>148</v>
      </c>
      <c r="C13" t="str">
        <f>MarketData!$E$134</f>
        <v>USD-FedFunds_IR_SWAP_RATE_USD_2D_1D_5M#0000</v>
      </c>
      <c r="E13" t="str">
        <f>_xll.qlQxOISRateHelper("FF_OIS_5M",2,"5M",C13,Indexes!$B$14,"Actual/360","UnitedStates::FederalReserve",2,"Annual","Following","Following","Backward","",TRUE,FALSE,FALSE,Indexes!$B$31)</f>
        <v>FF_OIS_5M#0000</v>
      </c>
      <c r="F13" t="str">
        <f>_xll.ohRangeRetrieveError(E13)</f>
        <v/>
      </c>
    </row>
    <row r="14" spans="1:6" x14ac:dyDescent="0.3">
      <c r="A14" t="s">
        <v>12</v>
      </c>
      <c r="B14" t="s">
        <v>149</v>
      </c>
      <c r="C14" t="str">
        <f>MarketData!$E$135</f>
        <v>USD-FedFunds_IR_SWAP_RATE_USD_2D_1D_6M#0000</v>
      </c>
      <c r="E14" t="str">
        <f>_xll.qlQxOISRateHelper("FF_OIS_6M",2,"6M",C14,Indexes!$B$14,"Actual/360","UnitedStates::FederalReserve",2,"Annual","Following","Following","Backward","",TRUE,FALSE,FALSE,Indexes!$B$31)</f>
        <v>FF_OIS_6M#0000</v>
      </c>
      <c r="F14" t="str">
        <f>_xll.ohRangeRetrieveError(E14)</f>
        <v/>
      </c>
    </row>
    <row r="15" spans="1:6" x14ac:dyDescent="0.3">
      <c r="A15" t="s">
        <v>12</v>
      </c>
      <c r="B15" t="s">
        <v>150</v>
      </c>
      <c r="C15" t="str">
        <f>MarketData!$E$136</f>
        <v>USD-FedFunds_IR_SWAP_RATE_USD_2D_1D_7M#0000</v>
      </c>
      <c r="E15" t="str">
        <f>_xll.qlQxOISRateHelper("FF_OIS_7M",2,"7M",C15,Indexes!$B$14,"Actual/360","UnitedStates::FederalReserve",2,"Annual","Following","Following","Backward","",TRUE,FALSE,FALSE,Indexes!$B$31)</f>
        <v>FF_OIS_7M#0000</v>
      </c>
      <c r="F15" t="str">
        <f>_xll.ohRangeRetrieveError(E15)</f>
        <v/>
      </c>
    </row>
    <row r="16" spans="1:6" x14ac:dyDescent="0.3">
      <c r="A16" t="s">
        <v>12</v>
      </c>
      <c r="B16" t="s">
        <v>151</v>
      </c>
      <c r="C16" t="str">
        <f>MarketData!$E$137</f>
        <v>USD-FedFunds_IR_SWAP_RATE_USD_2D_1D_8M#0000</v>
      </c>
      <c r="E16" t="str">
        <f>_xll.qlQxOISRateHelper("FF_OIS_8M",2,"8M",C16,Indexes!$B$14,"Actual/360","UnitedStates::FederalReserve",2,"Annual","Following","Following","Backward","",TRUE,FALSE,FALSE,Indexes!$B$31)</f>
        <v>FF_OIS_8M#0000</v>
      </c>
      <c r="F16" t="str">
        <f>_xll.ohRangeRetrieveError(E16)</f>
        <v/>
      </c>
    </row>
    <row r="17" spans="1:6" x14ac:dyDescent="0.3">
      <c r="A17" t="s">
        <v>12</v>
      </c>
      <c r="B17" t="s">
        <v>152</v>
      </c>
      <c r="C17" t="str">
        <f>MarketData!$E$138</f>
        <v>USD-FedFunds_IR_SWAP_RATE_USD_2D_1D_9M#0000</v>
      </c>
      <c r="E17" t="str">
        <f>_xll.qlQxOISRateHelper("FF_OIS_9M",2,"9M",C17,Indexes!$B$14,"Actual/360","UnitedStates::FederalReserve",2,"Annual","Following","Following","Backward","",TRUE,FALSE,FALSE,Indexes!$B$31)</f>
        <v>FF_OIS_9M#0000</v>
      </c>
      <c r="F17" t="str">
        <f>_xll.ohRangeRetrieveError(E17)</f>
        <v/>
      </c>
    </row>
    <row r="18" spans="1:6" x14ac:dyDescent="0.3">
      <c r="A18" t="s">
        <v>12</v>
      </c>
      <c r="B18" t="s">
        <v>153</v>
      </c>
      <c r="C18" t="str">
        <f>MarketData!$E$139</f>
        <v>USD-FedFunds_IR_SWAP_RATE_USD_2D_1D_10M#0000</v>
      </c>
      <c r="E18" t="str">
        <f>_xll.qlQxOISRateHelper("FF_OIS_10M",2,"10M",C18,Indexes!$B$14,"Actual/360","UnitedStates::FederalReserve",2,"Annual","Following","Following","Backward","",TRUE,FALSE,FALSE,Indexes!$B$31)</f>
        <v>FF_OIS_10M#0000</v>
      </c>
      <c r="F18" t="str">
        <f>_xll.ohRangeRetrieveError(E18)</f>
        <v/>
      </c>
    </row>
    <row r="19" spans="1:6" x14ac:dyDescent="0.3">
      <c r="A19" t="s">
        <v>12</v>
      </c>
      <c r="B19" t="s">
        <v>154</v>
      </c>
      <c r="C19" t="str">
        <f>MarketData!$E$140</f>
        <v>USD-FedFunds_IR_SWAP_RATE_USD_2D_1D_11M#0000</v>
      </c>
      <c r="E19" t="str">
        <f>_xll.qlQxOISRateHelper("FF_OIS_11M",2,"11M",C19,Indexes!$B$14,"Actual/360","UnitedStates::FederalReserve",2,"Annual","Following","Following","Backward","",TRUE,FALSE,FALSE,Indexes!$B$31)</f>
        <v>FF_OIS_11M#0000</v>
      </c>
      <c r="F19" t="str">
        <f>_xll.ohRangeRetrieveError(E19)</f>
        <v/>
      </c>
    </row>
    <row r="20" spans="1:6" x14ac:dyDescent="0.3">
      <c r="A20" t="s">
        <v>12</v>
      </c>
      <c r="B20" t="s">
        <v>155</v>
      </c>
      <c r="C20" t="str">
        <f>MarketData!$E$141</f>
        <v>USD-FedFunds_IR_SWAP_RATE_USD_2D_1D_1Y#0000</v>
      </c>
      <c r="E20" t="str">
        <f>_xll.qlQxOISRateHelper("FF_OIS_1Y",2,"1Y",C20,Indexes!$B$14,"Actual/360","UnitedStates::FederalReserve",2,"Annual","Following","Following","Backward","",TRUE,FALSE,FALSE,Indexes!$B$31)</f>
        <v>FF_OIS_1Y#0000</v>
      </c>
      <c r="F20" t="str">
        <f>_xll.ohRangeRetrieveError(E20)</f>
        <v/>
      </c>
    </row>
    <row r="21" spans="1:6" x14ac:dyDescent="0.3">
      <c r="A21" t="s">
        <v>156</v>
      </c>
      <c r="B21" t="s">
        <v>251</v>
      </c>
      <c r="C21" t="str">
        <f>MarketData!$E$143</f>
        <v>USD-FedFunds_IR_SWAP_RATE_USD_2D_3M_2Y#0000</v>
      </c>
      <c r="D21" t="str">
        <f>MarketData!$E$142</f>
        <v>USD-FedFunds_BASIS_SWAP_BASIS_SPREAD_3M_1D_USD_2Y#0000</v>
      </c>
      <c r="E21" t="str">
        <f>_xll.qlAverageOISRateHelper("FF_AVGOIS_2Y",C21,"2D","2Y","6M","30/360","UnitedStates::Settlement","Modified Following","Modified Following",Indexes!$B$14,"3M",D21,2,"",FALSE,FALSE,Indexes!$B$31)</f>
        <v>FF_AVGOIS_2Y#0000</v>
      </c>
      <c r="F21" t="str">
        <f>_xll.ohRangeRetrieveError(E21)</f>
        <v/>
      </c>
    </row>
    <row r="22" spans="1:6" x14ac:dyDescent="0.3">
      <c r="A22" t="s">
        <v>156</v>
      </c>
      <c r="B22" t="s">
        <v>252</v>
      </c>
      <c r="C22" t="str">
        <f>MarketData!$E$145</f>
        <v>USD-FedFunds_IR_SWAP_RATE_USD_2D_3M_3Y#0000</v>
      </c>
      <c r="D22" t="str">
        <f>MarketData!$E$144</f>
        <v>USD-FedFunds_BASIS_SWAP_BASIS_SPREAD_3M_1D_USD_3Y#0000</v>
      </c>
      <c r="E22" t="str">
        <f>_xll.qlAverageOISRateHelper("FF_AVGOIS_3Y",C22,"2D","3Y","6M","30/360","UnitedStates::Settlement","Modified Following","Modified Following",Indexes!$B$14,"3M",D22,2,"",FALSE,FALSE,Indexes!$B$31)</f>
        <v>FF_AVGOIS_3Y#0000</v>
      </c>
      <c r="F22" t="str">
        <f>_xll.ohRangeRetrieveError(E22)</f>
        <v/>
      </c>
    </row>
    <row r="23" spans="1:6" x14ac:dyDescent="0.3">
      <c r="A23" t="s">
        <v>156</v>
      </c>
      <c r="B23" t="s">
        <v>253</v>
      </c>
      <c r="C23" t="str">
        <f>MarketData!$E$147</f>
        <v>USD-FedFunds_IR_SWAP_RATE_USD_2D_3M_4Y#0000</v>
      </c>
      <c r="D23" t="str">
        <f>MarketData!$E$146</f>
        <v>USD-FedFunds_BASIS_SWAP_BASIS_SPREAD_3M_1D_USD_4Y#0000</v>
      </c>
      <c r="E23" t="str">
        <f>_xll.qlAverageOISRateHelper("FF_AVGOIS_4Y",C23,"2D","4Y","6M","30/360","UnitedStates::Settlement","Modified Following","Modified Following",Indexes!$B$14,"3M",D23,2,"",FALSE,FALSE,Indexes!$B$31)</f>
        <v>FF_AVGOIS_4Y#0000</v>
      </c>
      <c r="F23" t="str">
        <f>_xll.ohRangeRetrieveError(E23)</f>
        <v/>
      </c>
    </row>
    <row r="24" spans="1:6" x14ac:dyDescent="0.3">
      <c r="A24" t="s">
        <v>156</v>
      </c>
      <c r="B24" t="s">
        <v>254</v>
      </c>
      <c r="C24" t="str">
        <f>MarketData!$E$149</f>
        <v>USD-FedFunds_IR_SWAP_RATE_USD_2D_3M_5Y#0000</v>
      </c>
      <c r="D24" t="str">
        <f>MarketData!$E$148</f>
        <v>USD-FedFunds_BASIS_SWAP_BASIS_SPREAD_3M_1D_USD_5Y#0000</v>
      </c>
      <c r="E24" t="str">
        <f>_xll.qlAverageOISRateHelper("FF_AVGOIS_5Y",C24,"2D","5Y","6M","30/360","UnitedStates::Settlement","Modified Following","Modified Following",Indexes!$B$14,"3M",D24,2,"",FALSE,FALSE,Indexes!$B$31)</f>
        <v>FF_AVGOIS_5Y#0000</v>
      </c>
      <c r="F24" t="str">
        <f>_xll.ohRangeRetrieveError(E24)</f>
        <v/>
      </c>
    </row>
    <row r="25" spans="1:6" x14ac:dyDescent="0.3">
      <c r="A25" t="s">
        <v>156</v>
      </c>
      <c r="B25" t="s">
        <v>255</v>
      </c>
      <c r="C25" t="str">
        <f>MarketData!$E$151</f>
        <v>USD-FedFunds_IR_SWAP_RATE_USD_2D_3M_7Y#0000</v>
      </c>
      <c r="D25" t="str">
        <f>MarketData!$E$150</f>
        <v>USD-FedFunds_BASIS_SWAP_BASIS_SPREAD_3M_1D_USD_7Y#0000</v>
      </c>
      <c r="E25" t="str">
        <f>_xll.qlAverageOISRateHelper("FF_AVGOIS_7Y",C25,"2D","7Y","6M","30/360","UnitedStates::Settlement","Modified Following","Modified Following",Indexes!$B$14,"3M",D25,2,"",FALSE,FALSE,Indexes!$B$31)</f>
        <v>FF_AVGOIS_7Y#0000</v>
      </c>
      <c r="F25" t="str">
        <f>_xll.ohRangeRetrieveError(E25)</f>
        <v/>
      </c>
    </row>
    <row r="26" spans="1:6" x14ac:dyDescent="0.3">
      <c r="A26" t="s">
        <v>156</v>
      </c>
      <c r="B26" t="s">
        <v>256</v>
      </c>
      <c r="C26" t="str">
        <f>MarketData!$E$153</f>
        <v>USD-FedFunds_IR_SWAP_RATE_USD_2D_3M_10Y#0000</v>
      </c>
      <c r="D26" t="str">
        <f>MarketData!$E$152</f>
        <v>USD-FedFunds_BASIS_SWAP_BASIS_SPREAD_3M_1D_USD_10Y#0000</v>
      </c>
      <c r="E26" t="str">
        <f>_xll.qlAverageOISRateHelper("FF_AVGOIS_10Y",C26,"2D","10Y","6M","30/360","UnitedStates::Settlement","Modified Following","Modified Following",Indexes!$B$14,"3M",D26,2,"",FALSE,FALSE,Indexes!$B$31)</f>
        <v>FF_AVGOIS_10Y#0000</v>
      </c>
      <c r="F26" t="str">
        <f>_xll.ohRangeRetrieveError(E26)</f>
        <v/>
      </c>
    </row>
    <row r="27" spans="1:6" x14ac:dyDescent="0.3">
      <c r="A27" t="s">
        <v>156</v>
      </c>
      <c r="B27" t="s">
        <v>257</v>
      </c>
      <c r="C27" t="str">
        <f>MarketData!$E$155</f>
        <v>USD-FedFunds_IR_SWAP_RATE_USD_2D_3M_15Y#0000</v>
      </c>
      <c r="D27" t="str">
        <f>MarketData!$E$154</f>
        <v>USD-FedFunds_BASIS_SWAP_BASIS_SPREAD_3M_1D_USD_15Y#0000</v>
      </c>
      <c r="E27" t="str">
        <f>_xll.qlAverageOISRateHelper("FF_AVGOIS_15Y",C27,"2D","15Y","6M","30/360","UnitedStates::Settlement","Modified Following","Modified Following",Indexes!$B$14,"3M",D27,2,"",FALSE,FALSE,Indexes!$B$31)</f>
        <v>FF_AVGOIS_15Y#0000</v>
      </c>
      <c r="F27" t="str">
        <f>_xll.ohRangeRetrieveError(E27)</f>
        <v/>
      </c>
    </row>
    <row r="28" spans="1:6" x14ac:dyDescent="0.3">
      <c r="A28" t="s">
        <v>156</v>
      </c>
      <c r="B28" t="s">
        <v>258</v>
      </c>
      <c r="C28" t="str">
        <f>MarketData!$E$157</f>
        <v>USD-FedFunds_IR_SWAP_RATE_USD_2D_3M_20Y#0000</v>
      </c>
      <c r="D28" t="str">
        <f>MarketData!$E$156</f>
        <v>USD-FedFunds_BASIS_SWAP_BASIS_SPREAD_3M_1D_USD_20Y#0000</v>
      </c>
      <c r="E28" t="str">
        <f>_xll.qlAverageOISRateHelper("FF_AVGOIS_20Y",C28,"2D","20Y","6M","30/360","UnitedStates::Settlement","Modified Following","Modified Following",Indexes!$B$14,"3M",D28,2,"",FALSE,FALSE,Indexes!$B$31)</f>
        <v>FF_AVGOIS_20Y#0000</v>
      </c>
      <c r="F28" t="str">
        <f>_xll.ohRangeRetrieveError(E28)</f>
        <v/>
      </c>
    </row>
    <row r="29" spans="1:6" x14ac:dyDescent="0.3">
      <c r="A29" t="s">
        <v>156</v>
      </c>
      <c r="B29" t="s">
        <v>259</v>
      </c>
      <c r="C29" t="str">
        <f>MarketData!$E$159</f>
        <v>USD-FedFunds_IR_SWAP_RATE_USD_2D_3M_30Y#0000</v>
      </c>
      <c r="D29" t="str">
        <f>MarketData!$E$158</f>
        <v>USD-FedFunds_BASIS_SWAP_BASIS_SPREAD_3M_1D_USD_30Y#0000</v>
      </c>
      <c r="E29" t="str">
        <f>_xll.qlAverageOISRateHelper("FF_AVGOIS_30Y",C29,"2D","30Y","6M","30/360","UnitedStates::Settlement","Modified Following","Modified Following",Indexes!$B$14,"3M",D29,2,"",FALSE,FALSE,Indexes!$B$31)</f>
        <v>FF_AVGOIS_30Y#0000</v>
      </c>
      <c r="F29" t="str">
        <f>_xll.ohRangeRetrieveError(E29)</f>
        <v/>
      </c>
    </row>
    <row r="31" spans="1:6" x14ac:dyDescent="0.3">
      <c r="A31" t="s">
        <v>3</v>
      </c>
      <c r="B31" t="str">
        <f>_xll.qlPiecewiseYieldCurve("C_USD-FedFunds",0,"UnitedStates::FederalReserve",E5:E29,"Actual/365 (Fixed)",,,"Discount","LogLinear",FALSE,Indexes!$B$31)</f>
        <v>C_USD-FedFunds#0000</v>
      </c>
      <c r="C31" t="str">
        <f>_xll.ohRangeRetrieveError(B31)</f>
        <v/>
      </c>
      <c r="D31" t="b">
        <f>_xll.qlExtrapolatorEnableExtrapolation(B31,TRUE)</f>
        <v>1</v>
      </c>
    </row>
    <row r="32" spans="1:6" x14ac:dyDescent="0.3">
      <c r="A32" t="s">
        <v>260</v>
      </c>
      <c r="B32" t="b">
        <f>_xll.qlRelinkableHandleLinkTo(Indexes!$B$5,B31,D31)</f>
        <v>1</v>
      </c>
      <c r="C32" t="str">
        <f>_xll.ohRangeRetrieveError(B32)</f>
        <v/>
      </c>
    </row>
    <row r="34" spans="1:5" x14ac:dyDescent="0.3">
      <c r="A34" s="2" t="s">
        <v>261</v>
      </c>
      <c r="B34" s="2" t="s">
        <v>262</v>
      </c>
      <c r="C34" s="2" t="s">
        <v>263</v>
      </c>
      <c r="D34" s="2" t="s">
        <v>241</v>
      </c>
      <c r="E34" s="2" t="s">
        <v>264</v>
      </c>
    </row>
    <row r="35" spans="1:5" x14ac:dyDescent="0.3">
      <c r="A35" s="1">
        <f>DATE(2019,12,31)</f>
        <v>43830</v>
      </c>
      <c r="B35" s="3">
        <v>0.99995694629814558</v>
      </c>
      <c r="C35" s="3">
        <f>_xll.qlYieldTSDiscount($B$31,A35,TRUE,$B$32)</f>
        <v>0.99995694629814558</v>
      </c>
      <c r="D35" s="4">
        <f t="shared" ref="D35:D59" si="0">C35-B35</f>
        <v>0</v>
      </c>
      <c r="E35" s="4">
        <f t="shared" ref="E35:E59" si="1">D35/B35</f>
        <v>0</v>
      </c>
    </row>
    <row r="36" spans="1:5" x14ac:dyDescent="0.3">
      <c r="A36" s="1">
        <f>DATE(2020,1,13)</f>
        <v>43843</v>
      </c>
      <c r="B36" s="3">
        <v>0.99939864357425068</v>
      </c>
      <c r="C36" s="3">
        <f>_xll.qlYieldTSDiscount($B$31,A36,TRUE,$B$32)</f>
        <v>0.99939864357425068</v>
      </c>
      <c r="D36" s="4">
        <f t="shared" si="0"/>
        <v>0</v>
      </c>
      <c r="E36" s="4">
        <f t="shared" si="1"/>
        <v>0</v>
      </c>
    </row>
    <row r="37" spans="1:5" x14ac:dyDescent="0.3">
      <c r="A37" s="1">
        <f>DATE(2020,1,21)</f>
        <v>43851</v>
      </c>
      <c r="B37" s="3">
        <v>0.99905298343017124</v>
      </c>
      <c r="C37" s="3">
        <f>_xll.qlYieldTSDiscount($B$31,A37,TRUE,$B$32)</f>
        <v>0.99905298343017124</v>
      </c>
      <c r="D37" s="4">
        <f t="shared" si="0"/>
        <v>0</v>
      </c>
      <c r="E37" s="4">
        <f t="shared" si="1"/>
        <v>0</v>
      </c>
    </row>
    <row r="38" spans="1:5" x14ac:dyDescent="0.3">
      <c r="A38" s="1">
        <f>DATE(2020,1,27)</f>
        <v>43857</v>
      </c>
      <c r="B38" s="3">
        <v>0.99879972481211743</v>
      </c>
      <c r="C38" s="3">
        <f>_xll.qlYieldTSDiscount($B$31,A38,TRUE,$B$32)</f>
        <v>0.99879972481211743</v>
      </c>
      <c r="D38" s="4">
        <f t="shared" si="0"/>
        <v>0</v>
      </c>
      <c r="E38" s="4">
        <f t="shared" si="1"/>
        <v>0</v>
      </c>
    </row>
    <row r="39" spans="1:5" x14ac:dyDescent="0.3">
      <c r="A39" s="1">
        <f>DATE(2020,2,5)</f>
        <v>43866</v>
      </c>
      <c r="B39" s="3">
        <v>0.99840450111580348</v>
      </c>
      <c r="C39" s="3">
        <f>_xll.qlYieldTSDiscount($B$31,A39,TRUE,$B$32)</f>
        <v>0.99840450111580348</v>
      </c>
      <c r="D39" s="4">
        <f t="shared" si="0"/>
        <v>0</v>
      </c>
      <c r="E39" s="4">
        <f t="shared" si="1"/>
        <v>0</v>
      </c>
    </row>
    <row r="40" spans="1:5" x14ac:dyDescent="0.3">
      <c r="A40" s="1">
        <f>DATE(2020,3,4)</f>
        <v>43894</v>
      </c>
      <c r="B40" s="3">
        <v>0.99719026775620789</v>
      </c>
      <c r="C40" s="3">
        <f>_xll.qlYieldTSDiscount($B$31,A40,TRUE,$B$32)</f>
        <v>0.99719026775620789</v>
      </c>
      <c r="D40" s="4">
        <f t="shared" si="0"/>
        <v>0</v>
      </c>
      <c r="E40" s="4">
        <f t="shared" si="1"/>
        <v>0</v>
      </c>
    </row>
    <row r="41" spans="1:5" x14ac:dyDescent="0.3">
      <c r="A41" s="1">
        <f>DATE(2020,4,6)</f>
        <v>43927</v>
      </c>
      <c r="B41" s="3">
        <v>0.99576759709406615</v>
      </c>
      <c r="C41" s="3">
        <f>_xll.qlYieldTSDiscount($B$31,A41,TRUE,$B$32)</f>
        <v>0.99576759709406615</v>
      </c>
      <c r="D41" s="4">
        <f t="shared" si="0"/>
        <v>0</v>
      </c>
      <c r="E41" s="4">
        <f t="shared" si="1"/>
        <v>0</v>
      </c>
    </row>
    <row r="42" spans="1:5" x14ac:dyDescent="0.3">
      <c r="A42" s="1">
        <f>DATE(2020,5,6)</f>
        <v>43957</v>
      </c>
      <c r="B42" s="3">
        <v>0.99448665876921316</v>
      </c>
      <c r="C42" s="3">
        <f>_xll.qlYieldTSDiscount($B$31,A42,TRUE,$B$32)</f>
        <v>0.99448665876921316</v>
      </c>
      <c r="D42" s="4">
        <f t="shared" si="0"/>
        <v>0</v>
      </c>
      <c r="E42" s="4">
        <f t="shared" si="1"/>
        <v>0</v>
      </c>
    </row>
    <row r="43" spans="1:5" x14ac:dyDescent="0.3">
      <c r="A43" s="1">
        <f>DATE(2020,6,4)</f>
        <v>43986</v>
      </c>
      <c r="B43" s="3">
        <v>0.99325777568938556</v>
      </c>
      <c r="C43" s="3">
        <f>_xll.qlYieldTSDiscount($B$31,A43,TRUE,$B$32)</f>
        <v>0.99325777568938556</v>
      </c>
      <c r="D43" s="4">
        <f t="shared" si="0"/>
        <v>0</v>
      </c>
      <c r="E43" s="4">
        <f t="shared" si="1"/>
        <v>0</v>
      </c>
    </row>
    <row r="44" spans="1:5" x14ac:dyDescent="0.3">
      <c r="A44" s="1">
        <f>DATE(2020,7,6)</f>
        <v>44018</v>
      </c>
      <c r="B44" s="3">
        <v>0.99192088091195685</v>
      </c>
      <c r="C44" s="3">
        <f>_xll.qlYieldTSDiscount($B$31,A44,TRUE,$B$32)</f>
        <v>0.99192088091195685</v>
      </c>
      <c r="D44" s="4">
        <f t="shared" si="0"/>
        <v>0</v>
      </c>
      <c r="E44" s="4">
        <f t="shared" si="1"/>
        <v>0</v>
      </c>
    </row>
    <row r="45" spans="1:5" x14ac:dyDescent="0.3">
      <c r="A45" s="1">
        <f>DATE(2020,8,5)</f>
        <v>44048</v>
      </c>
      <c r="B45" s="3">
        <v>0.99068270507881107</v>
      </c>
      <c r="C45" s="3">
        <f>_xll.qlYieldTSDiscount($B$31,A45,TRUE,$B$32)</f>
        <v>0.99068270507881107</v>
      </c>
      <c r="D45" s="4">
        <f t="shared" si="0"/>
        <v>0</v>
      </c>
      <c r="E45" s="4">
        <f t="shared" si="1"/>
        <v>0</v>
      </c>
    </row>
    <row r="46" spans="1:5" x14ac:dyDescent="0.3">
      <c r="A46" s="1">
        <f>DATE(2020,9,4)</f>
        <v>44078</v>
      </c>
      <c r="B46" s="3">
        <v>0.98946741013279016</v>
      </c>
      <c r="C46" s="3">
        <f>_xll.qlYieldTSDiscount($B$31,A46,TRUE,$B$32)</f>
        <v>0.98946741013279016</v>
      </c>
      <c r="D46" s="4">
        <f t="shared" si="0"/>
        <v>0</v>
      </c>
      <c r="E46" s="4">
        <f t="shared" si="1"/>
        <v>0</v>
      </c>
    </row>
    <row r="47" spans="1:5" x14ac:dyDescent="0.3">
      <c r="A47" s="1">
        <f>DATE(2020,10,6)</f>
        <v>44110</v>
      </c>
      <c r="B47" s="3">
        <v>0.98818584252038844</v>
      </c>
      <c r="C47" s="3">
        <f>_xll.qlYieldTSDiscount($B$31,A47,TRUE,$B$32)</f>
        <v>0.98818584252038844</v>
      </c>
      <c r="D47" s="4">
        <f t="shared" si="0"/>
        <v>0</v>
      </c>
      <c r="E47" s="4">
        <f t="shared" si="1"/>
        <v>0</v>
      </c>
    </row>
    <row r="48" spans="1:5" x14ac:dyDescent="0.3">
      <c r="A48" s="1">
        <f>DATE(2020,11,4)</f>
        <v>44139</v>
      </c>
      <c r="B48" s="3">
        <v>0.9870444449248148</v>
      </c>
      <c r="C48" s="3">
        <f>_xll.qlYieldTSDiscount($B$31,A48,TRUE,$B$32)</f>
        <v>0.9870444449248148</v>
      </c>
      <c r="D48" s="4">
        <f t="shared" si="0"/>
        <v>0</v>
      </c>
      <c r="E48" s="4">
        <f t="shared" si="1"/>
        <v>0</v>
      </c>
    </row>
    <row r="49" spans="1:5" x14ac:dyDescent="0.3">
      <c r="A49" s="1">
        <f>DATE(2020,12,4)</f>
        <v>44169</v>
      </c>
      <c r="B49" s="3">
        <v>0.98588747545529654</v>
      </c>
      <c r="C49" s="3">
        <f>_xll.qlYieldTSDiscount($B$31,A49,TRUE,$B$32)</f>
        <v>0.98588747545529654</v>
      </c>
      <c r="D49" s="4">
        <f t="shared" si="0"/>
        <v>0</v>
      </c>
      <c r="E49" s="4">
        <f t="shared" si="1"/>
        <v>0</v>
      </c>
    </row>
    <row r="50" spans="1:5" x14ac:dyDescent="0.3">
      <c r="A50" s="1">
        <f>DATE(2021,1,6)</f>
        <v>44202</v>
      </c>
      <c r="B50" s="3">
        <v>0.98462536580452675</v>
      </c>
      <c r="C50" s="3">
        <f>_xll.qlYieldTSDiscount($B$31,A50,TRUE,$B$32)</f>
        <v>0.98462536580452675</v>
      </c>
      <c r="D50" s="4">
        <f t="shared" si="0"/>
        <v>0</v>
      </c>
      <c r="E50" s="4">
        <f t="shared" si="1"/>
        <v>0</v>
      </c>
    </row>
    <row r="51" spans="1:5" x14ac:dyDescent="0.3">
      <c r="A51" s="1">
        <f>DATE(2022,1,3)</f>
        <v>44564</v>
      </c>
      <c r="B51" s="3">
        <v>0.9714391011367346</v>
      </c>
      <c r="C51" s="3">
        <f>_xll.qlYieldTSDiscount($B$31,A51,TRUE,$B$32)</f>
        <v>0.9714391011367346</v>
      </c>
      <c r="D51" s="4">
        <f t="shared" si="0"/>
        <v>0</v>
      </c>
      <c r="E51" s="4">
        <f t="shared" si="1"/>
        <v>0</v>
      </c>
    </row>
    <row r="52" spans="1:5" x14ac:dyDescent="0.3">
      <c r="A52" s="1">
        <f>DATE(2023,1,3)</f>
        <v>44929</v>
      </c>
      <c r="B52" s="3">
        <v>0.95786833350738898</v>
      </c>
      <c r="C52" s="3">
        <f>_xll.qlYieldTSDiscount($B$31,A52,TRUE,$B$32)</f>
        <v>0.95786833350738898</v>
      </c>
      <c r="D52" s="4">
        <f t="shared" si="0"/>
        <v>0</v>
      </c>
      <c r="E52" s="4">
        <f t="shared" si="1"/>
        <v>0</v>
      </c>
    </row>
    <row r="53" spans="1:5" x14ac:dyDescent="0.3">
      <c r="A53" s="1">
        <f>DATE(2024,1,2)</f>
        <v>45293</v>
      </c>
      <c r="B53" s="3">
        <v>0.94377629566117816</v>
      </c>
      <c r="C53" s="3">
        <f>_xll.qlYieldTSDiscount($B$31,A53,TRUE,$B$32)</f>
        <v>0.94377629566117816</v>
      </c>
      <c r="D53" s="4">
        <f t="shared" si="0"/>
        <v>0</v>
      </c>
      <c r="E53" s="4">
        <f t="shared" si="1"/>
        <v>0</v>
      </c>
    </row>
    <row r="54" spans="1:5" x14ac:dyDescent="0.3">
      <c r="A54" s="1">
        <f>DATE(2025,1,2)</f>
        <v>45659</v>
      </c>
      <c r="B54" s="3">
        <v>0.92968344618090537</v>
      </c>
      <c r="C54" s="3">
        <f>_xll.qlYieldTSDiscount($B$31,A54,TRUE,$B$32)</f>
        <v>0.92968344618090537</v>
      </c>
      <c r="D54" s="4">
        <f t="shared" si="0"/>
        <v>0</v>
      </c>
      <c r="E54" s="4">
        <f t="shared" si="1"/>
        <v>0</v>
      </c>
    </row>
    <row r="55" spans="1:5" x14ac:dyDescent="0.3">
      <c r="A55" s="1">
        <f>DATE(2027,1,4)</f>
        <v>46391</v>
      </c>
      <c r="B55" s="3">
        <v>0.8988652927249996</v>
      </c>
      <c r="C55" s="3">
        <f>_xll.qlYieldTSDiscount($B$31,A55,TRUE,$B$32)</f>
        <v>0.8988652927249996</v>
      </c>
      <c r="D55" s="4">
        <f t="shared" si="0"/>
        <v>0</v>
      </c>
      <c r="E55" s="4">
        <f t="shared" si="1"/>
        <v>0</v>
      </c>
    </row>
    <row r="56" spans="1:5" x14ac:dyDescent="0.3">
      <c r="A56" s="1">
        <f>DATE(2030,1,2)</f>
        <v>47485</v>
      </c>
      <c r="B56" s="3">
        <v>0.85035627309778705</v>
      </c>
      <c r="C56" s="3">
        <f>_xll.qlYieldTSDiscount($B$31,A56,TRUE,$B$32)</f>
        <v>0.85035627309778639</v>
      </c>
      <c r="D56" s="4">
        <f t="shared" si="0"/>
        <v>0</v>
      </c>
      <c r="E56" s="4">
        <f t="shared" si="1"/>
        <v>0</v>
      </c>
    </row>
    <row r="57" spans="1:5" x14ac:dyDescent="0.3">
      <c r="A57" s="1">
        <f>DATE(2035,1,2)</f>
        <v>49311</v>
      </c>
      <c r="B57" s="3">
        <v>0.7720751633012376</v>
      </c>
      <c r="C57" s="3">
        <f>_xll.qlYieldTSDiscount($B$31,A57,TRUE,$B$32)</f>
        <v>0.77207516330123493</v>
      </c>
      <c r="D57" s="4">
        <f t="shared" si="0"/>
        <v>-2.6645352591003757E-15</v>
      </c>
      <c r="E57" s="4">
        <f t="shared" si="1"/>
        <v>-3.4511345342432214E-15</v>
      </c>
    </row>
    <row r="58" spans="1:5" x14ac:dyDescent="0.3">
      <c r="A58" s="1">
        <f>DATE(2040,1,3)</f>
        <v>51138</v>
      </c>
      <c r="B58" s="3">
        <v>0.69976192614386612</v>
      </c>
      <c r="C58" s="3">
        <f>_xll.qlYieldTSDiscount($B$31,A58,TRUE,$B$32)</f>
        <v>0.69976192614386945</v>
      </c>
      <c r="D58" s="4">
        <f t="shared" si="0"/>
        <v>3.3306690738754696E-15</v>
      </c>
      <c r="E58" s="4">
        <f t="shared" si="1"/>
        <v>4.7597174831011136E-15</v>
      </c>
    </row>
    <row r="59" spans="1:5" x14ac:dyDescent="0.3">
      <c r="A59" s="1">
        <f>DATE(2050,1,3)</f>
        <v>54791</v>
      </c>
      <c r="B59" s="3">
        <v>0.58161507300263404</v>
      </c>
      <c r="C59" s="3">
        <f>_xll.qlYieldTSDiscount($B$31,A59,TRUE,$B$32)</f>
        <v>0.58161507300263959</v>
      </c>
      <c r="D59" s="4">
        <f t="shared" si="0"/>
        <v>5.5511151231257827E-15</v>
      </c>
      <c r="E59" s="4">
        <f t="shared" si="1"/>
        <v>9.5443109726639467E-15</v>
      </c>
    </row>
    <row r="61" spans="1:5" x14ac:dyDescent="0.3">
      <c r="A61" t="s">
        <v>265</v>
      </c>
      <c r="D61" s="4">
        <f>MAX(ABS(MIN(D35:D59)),ABS(MAX(D35:D59)))</f>
        <v>5.5511151231257827E-15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AF240-3E76-4097-A8BC-7A03E4A6715E}">
  <dimension ref="A1:F79"/>
  <sheetViews>
    <sheetView workbookViewId="0"/>
  </sheetViews>
  <sheetFormatPr defaultRowHeight="14.4" x14ac:dyDescent="0.3"/>
  <cols>
    <col min="1" max="1" width="30.77734375" customWidth="1"/>
    <col min="2" max="2" width="40.77734375" customWidth="1"/>
    <col min="3" max="6" width="22.77734375" customWidth="1"/>
  </cols>
  <sheetData>
    <row r="1" spans="1:6" x14ac:dyDescent="0.3">
      <c r="A1" s="2" t="s">
        <v>266</v>
      </c>
    </row>
    <row r="2" spans="1:6" x14ac:dyDescent="0.3">
      <c r="A2" t="s">
        <v>267</v>
      </c>
    </row>
    <row r="4" spans="1:6" x14ac:dyDescent="0.3">
      <c r="A4" s="2" t="s">
        <v>4</v>
      </c>
      <c r="B4" s="2" t="s">
        <v>247</v>
      </c>
      <c r="C4" s="2" t="s">
        <v>248</v>
      </c>
      <c r="D4" s="2"/>
      <c r="E4" s="2" t="s">
        <v>250</v>
      </c>
      <c r="F4" s="2" t="s">
        <v>8</v>
      </c>
    </row>
    <row r="5" spans="1:6" x14ac:dyDescent="0.3">
      <c r="A5" t="s">
        <v>10</v>
      </c>
      <c r="B5" t="s">
        <v>11</v>
      </c>
      <c r="C5" t="str">
        <f>MarketData!$E$7</f>
        <v>EUR-EONIA_MM_RATE_EUR_0D_1D#0000</v>
      </c>
      <c r="E5" t="str">
        <f>_xll.qlDepositRateHelper2("EONIA_DEP_1D",C5,"1D",0,"TARGET","Following",FALSE,"Actual/360",FALSE,Indexes!$B$31)</f>
        <v>EONIA_DEP_1D#0000</v>
      </c>
      <c r="F5" t="str">
        <f>_xll.ohRangeRetrieveError(E5)</f>
        <v/>
      </c>
    </row>
    <row r="6" spans="1:6" x14ac:dyDescent="0.3">
      <c r="A6" t="s">
        <v>12</v>
      </c>
      <c r="B6" t="s">
        <v>13</v>
      </c>
      <c r="C6" t="str">
        <f>MarketData!$E$8</f>
        <v>EUR-EONIA_IR_SWAP_RATE_EUR_2D_1D_1W#0000</v>
      </c>
      <c r="E6" t="str">
        <f>_xll.qlQxOISRateHelper("EONIA_OIS_1W",2,"1W",C6,Indexes!$B$15,"Actual/360","TARGET",1,"Annual","Following","Following","Backward","",TRUE,FALSE,FALSE,Indexes!$B$31)</f>
        <v>EONIA_OIS_1W#0000</v>
      </c>
      <c r="F6" t="str">
        <f>_xll.ohRangeRetrieveError(E6)</f>
        <v/>
      </c>
    </row>
    <row r="7" spans="1:6" x14ac:dyDescent="0.3">
      <c r="A7" t="s">
        <v>12</v>
      </c>
      <c r="B7" t="s">
        <v>14</v>
      </c>
      <c r="C7" t="str">
        <f>MarketData!$E$9</f>
        <v>EUR-EONIA_IR_SWAP_RATE_EUR_2D_1D_2W#0000</v>
      </c>
      <c r="E7" t="str">
        <f>_xll.qlQxOISRateHelper("EONIA_OIS_2W",2,"2W",C7,Indexes!$B$15,"Actual/360","TARGET",1,"Annual","Following","Following","Backward","",TRUE,FALSE,FALSE,Indexes!$B$31)</f>
        <v>EONIA_OIS_2W#0000</v>
      </c>
      <c r="F7" t="str">
        <f>_xll.ohRangeRetrieveError(E7)</f>
        <v/>
      </c>
    </row>
    <row r="8" spans="1:6" x14ac:dyDescent="0.3">
      <c r="A8" t="s">
        <v>12</v>
      </c>
      <c r="B8" t="s">
        <v>15</v>
      </c>
      <c r="C8" t="str">
        <f>MarketData!$E$10</f>
        <v>EUR-EONIA_IR_SWAP_RATE_EUR_2D_1D_3W#0000</v>
      </c>
      <c r="E8" t="str">
        <f>_xll.qlQxOISRateHelper("EONIA_OIS_3W",2,"3W",C8,Indexes!$B$15,"Actual/360","TARGET",1,"Annual","Following","Following","Backward","",TRUE,FALSE,FALSE,Indexes!$B$31)</f>
        <v>EONIA_OIS_3W#0000</v>
      </c>
      <c r="F8" t="str">
        <f>_xll.ohRangeRetrieveError(E8)</f>
        <v/>
      </c>
    </row>
    <row r="9" spans="1:6" x14ac:dyDescent="0.3">
      <c r="A9" t="s">
        <v>12</v>
      </c>
      <c r="B9" t="s">
        <v>16</v>
      </c>
      <c r="C9" t="str">
        <f>MarketData!$E$11</f>
        <v>EUR-EONIA_IR_SWAP_RATE_EUR_2D_1D_1M#0000</v>
      </c>
      <c r="E9" t="str">
        <f>_xll.qlQxOISRateHelper("EONIA_OIS_1M",2,"1M",C9,Indexes!$B$15,"Actual/360","TARGET",1,"Annual","Following","Following","Backward","",TRUE,FALSE,FALSE,Indexes!$B$31)</f>
        <v>EONIA_OIS_1M#0000</v>
      </c>
      <c r="F9" t="str">
        <f>_xll.ohRangeRetrieveError(E9)</f>
        <v/>
      </c>
    </row>
    <row r="10" spans="1:6" x14ac:dyDescent="0.3">
      <c r="A10" t="s">
        <v>12</v>
      </c>
      <c r="B10" t="s">
        <v>17</v>
      </c>
      <c r="C10" t="str">
        <f>MarketData!$E$12</f>
        <v>EUR-EONIA_IR_SWAP_RATE_EUR_2D_1D_2M#0000</v>
      </c>
      <c r="E10" t="str">
        <f>_xll.qlQxOISRateHelper("EONIA_OIS_2M",2,"2M",C10,Indexes!$B$15,"Actual/360","TARGET",1,"Annual","Following","Following","Backward","",TRUE,FALSE,FALSE,Indexes!$B$31)</f>
        <v>EONIA_OIS_2M#0000</v>
      </c>
      <c r="F10" t="str">
        <f>_xll.ohRangeRetrieveError(E10)</f>
        <v/>
      </c>
    </row>
    <row r="11" spans="1:6" x14ac:dyDescent="0.3">
      <c r="A11" t="s">
        <v>12</v>
      </c>
      <c r="B11" t="s">
        <v>18</v>
      </c>
      <c r="C11" t="str">
        <f>MarketData!$E$13</f>
        <v>EUR-EONIA_IR_SWAP_RATE_EUR_2D_1D_3M#0000</v>
      </c>
      <c r="E11" t="str">
        <f>_xll.qlQxOISRateHelper("EONIA_OIS_3M",2,"3M",C11,Indexes!$B$15,"Actual/360","TARGET",1,"Annual","Following","Following","Backward","",TRUE,FALSE,FALSE,Indexes!$B$31)</f>
        <v>EONIA_OIS_3M#0000</v>
      </c>
      <c r="F11" t="str">
        <f>_xll.ohRangeRetrieveError(E11)</f>
        <v/>
      </c>
    </row>
    <row r="12" spans="1:6" x14ac:dyDescent="0.3">
      <c r="A12" t="s">
        <v>12</v>
      </c>
      <c r="B12" t="s">
        <v>19</v>
      </c>
      <c r="C12" t="str">
        <f>MarketData!$E$14</f>
        <v>EUR-EONIA_IR_SWAP_RATE_EUR_2D_1D_4M#0000</v>
      </c>
      <c r="E12" t="str">
        <f>_xll.qlQxOISRateHelper("EONIA_OIS_4M",2,"4M",C12,Indexes!$B$15,"Actual/360","TARGET",1,"Annual","Following","Following","Backward","",TRUE,FALSE,FALSE,Indexes!$B$31)</f>
        <v>EONIA_OIS_4M#0000</v>
      </c>
      <c r="F12" t="str">
        <f>_xll.ohRangeRetrieveError(E12)</f>
        <v/>
      </c>
    </row>
    <row r="13" spans="1:6" x14ac:dyDescent="0.3">
      <c r="A13" t="s">
        <v>12</v>
      </c>
      <c r="B13" t="s">
        <v>20</v>
      </c>
      <c r="C13" t="str">
        <f>MarketData!$E$15</f>
        <v>EUR-EONIA_IR_SWAP_RATE_EUR_2D_1D_5M#0000</v>
      </c>
      <c r="E13" t="str">
        <f>_xll.qlQxOISRateHelper("EONIA_OIS_5M",2,"5M",C13,Indexes!$B$15,"Actual/360","TARGET",1,"Annual","Following","Following","Backward","",TRUE,FALSE,FALSE,Indexes!$B$31)</f>
        <v>EONIA_OIS_5M#0000</v>
      </c>
      <c r="F13" t="str">
        <f>_xll.ohRangeRetrieveError(E13)</f>
        <v/>
      </c>
    </row>
    <row r="14" spans="1:6" x14ac:dyDescent="0.3">
      <c r="A14" t="s">
        <v>12</v>
      </c>
      <c r="B14" t="s">
        <v>21</v>
      </c>
      <c r="C14" t="str">
        <f>MarketData!$E$16</f>
        <v>EUR-EONIA_IR_SWAP_RATE_EUR_2D_1D_6M#0000</v>
      </c>
      <c r="E14" t="str">
        <f>_xll.qlQxOISRateHelper("EONIA_OIS_6M",2,"6M",C14,Indexes!$B$15,"Actual/360","TARGET",1,"Annual","Following","Following","Backward","",TRUE,FALSE,FALSE,Indexes!$B$31)</f>
        <v>EONIA_OIS_6M#0000</v>
      </c>
      <c r="F14" t="str">
        <f>_xll.ohRangeRetrieveError(E14)</f>
        <v/>
      </c>
    </row>
    <row r="15" spans="1:6" x14ac:dyDescent="0.3">
      <c r="A15" t="s">
        <v>12</v>
      </c>
      <c r="B15" t="s">
        <v>22</v>
      </c>
      <c r="C15" t="str">
        <f>MarketData!$E$17</f>
        <v>EUR-EONIA_IR_SWAP_RATE_EUR_2D_1D_7M#0000</v>
      </c>
      <c r="E15" t="str">
        <f>_xll.qlQxOISRateHelper("EONIA_OIS_7M",2,"7M",C15,Indexes!$B$15,"Actual/360","TARGET",1,"Annual","Following","Following","Backward","",TRUE,FALSE,FALSE,Indexes!$B$31)</f>
        <v>EONIA_OIS_7M#0000</v>
      </c>
      <c r="F15" t="str">
        <f>_xll.ohRangeRetrieveError(E15)</f>
        <v/>
      </c>
    </row>
    <row r="16" spans="1:6" x14ac:dyDescent="0.3">
      <c r="A16" t="s">
        <v>12</v>
      </c>
      <c r="B16" t="s">
        <v>23</v>
      </c>
      <c r="C16" t="str">
        <f>MarketData!$E$18</f>
        <v>EUR-EONIA_IR_SWAP_RATE_EUR_2D_1D_8M#0000</v>
      </c>
      <c r="E16" t="str">
        <f>_xll.qlQxOISRateHelper("EONIA_OIS_8M",2,"8M",C16,Indexes!$B$15,"Actual/360","TARGET",1,"Annual","Following","Following","Backward","",TRUE,FALSE,FALSE,Indexes!$B$31)</f>
        <v>EONIA_OIS_8M#0000</v>
      </c>
      <c r="F16" t="str">
        <f>_xll.ohRangeRetrieveError(E16)</f>
        <v/>
      </c>
    </row>
    <row r="17" spans="1:6" x14ac:dyDescent="0.3">
      <c r="A17" t="s">
        <v>12</v>
      </c>
      <c r="B17" t="s">
        <v>24</v>
      </c>
      <c r="C17" t="str">
        <f>MarketData!$E$19</f>
        <v>EUR-EONIA_IR_SWAP_RATE_EUR_2D_1D_9M#0000</v>
      </c>
      <c r="E17" t="str">
        <f>_xll.qlQxOISRateHelper("EONIA_OIS_9M",2,"9M",C17,Indexes!$B$15,"Actual/360","TARGET",1,"Annual","Following","Following","Backward","",TRUE,FALSE,FALSE,Indexes!$B$31)</f>
        <v>EONIA_OIS_9M#0000</v>
      </c>
      <c r="F17" t="str">
        <f>_xll.ohRangeRetrieveError(E17)</f>
        <v/>
      </c>
    </row>
    <row r="18" spans="1:6" x14ac:dyDescent="0.3">
      <c r="A18" t="s">
        <v>12</v>
      </c>
      <c r="B18" t="s">
        <v>25</v>
      </c>
      <c r="C18" t="str">
        <f>MarketData!$E$20</f>
        <v>EUR-EONIA_IR_SWAP_RATE_EUR_2D_1D_10M#0000</v>
      </c>
      <c r="E18" t="str">
        <f>_xll.qlQxOISRateHelper("EONIA_OIS_10M",2,"10M",C18,Indexes!$B$15,"Actual/360","TARGET",1,"Annual","Following","Following","Backward","",TRUE,FALSE,FALSE,Indexes!$B$31)</f>
        <v>EONIA_OIS_10M#0000</v>
      </c>
      <c r="F18" t="str">
        <f>_xll.ohRangeRetrieveError(E18)</f>
        <v/>
      </c>
    </row>
    <row r="19" spans="1:6" x14ac:dyDescent="0.3">
      <c r="A19" t="s">
        <v>12</v>
      </c>
      <c r="B19" t="s">
        <v>26</v>
      </c>
      <c r="C19" t="str">
        <f>MarketData!$E$21</f>
        <v>EUR-EONIA_IR_SWAP_RATE_EUR_2D_1D_11M#0000</v>
      </c>
      <c r="E19" t="str">
        <f>_xll.qlQxOISRateHelper("EONIA_OIS_11M",2,"11M",C19,Indexes!$B$15,"Actual/360","TARGET",1,"Annual","Following","Following","Backward","",TRUE,FALSE,FALSE,Indexes!$B$31)</f>
        <v>EONIA_OIS_11M#0000</v>
      </c>
      <c r="F19" t="str">
        <f>_xll.ohRangeRetrieveError(E19)</f>
        <v/>
      </c>
    </row>
    <row r="20" spans="1:6" x14ac:dyDescent="0.3">
      <c r="A20" t="s">
        <v>12</v>
      </c>
      <c r="B20" t="s">
        <v>27</v>
      </c>
      <c r="C20" t="str">
        <f>MarketData!$E$22</f>
        <v>EUR-EONIA_IR_SWAP_RATE_EUR_2D_1D_1Y#0000</v>
      </c>
      <c r="E20" t="str">
        <f>_xll.qlQxOISRateHelper("EONIA_OIS_1Y",2,"1Y",C20,Indexes!$B$15,"Actual/360","TARGET",1,"Annual","Following","Following","Backward","",TRUE,FALSE,FALSE,Indexes!$B$31)</f>
        <v>EONIA_OIS_1Y#0000</v>
      </c>
      <c r="F20" t="str">
        <f>_xll.ohRangeRetrieveError(E20)</f>
        <v/>
      </c>
    </row>
    <row r="21" spans="1:6" x14ac:dyDescent="0.3">
      <c r="A21" t="s">
        <v>12</v>
      </c>
      <c r="B21" t="s">
        <v>28</v>
      </c>
      <c r="C21" t="str">
        <f>MarketData!$E$23</f>
        <v>EUR-EONIA_IR_SWAP_RATE_EUR_2D_1D_15M#0000</v>
      </c>
      <c r="E21" t="str">
        <f>_xll.qlQxOISRateHelper("EONIA_OIS_15M",2,"15M",C21,Indexes!$B$15,"Actual/360","TARGET",1,"Annual","Following","Following","Backward","",TRUE,FALSE,FALSE,Indexes!$B$31)</f>
        <v>EONIA_OIS_15M#0000</v>
      </c>
      <c r="F21" t="str">
        <f>_xll.ohRangeRetrieveError(E21)</f>
        <v/>
      </c>
    </row>
    <row r="22" spans="1:6" x14ac:dyDescent="0.3">
      <c r="A22" t="s">
        <v>12</v>
      </c>
      <c r="B22" t="s">
        <v>29</v>
      </c>
      <c r="C22" t="str">
        <f>MarketData!$E$24</f>
        <v>EUR-EONIA_IR_SWAP_RATE_EUR_2D_1D_18M#0000</v>
      </c>
      <c r="E22" t="str">
        <f>_xll.qlQxOISRateHelper("EONIA_OIS_18M",2,"18M",C22,Indexes!$B$15,"Actual/360","TARGET",1,"Annual","Following","Following","Backward","",TRUE,FALSE,FALSE,Indexes!$B$31)</f>
        <v>EONIA_OIS_18M#0000</v>
      </c>
      <c r="F22" t="str">
        <f>_xll.ohRangeRetrieveError(E22)</f>
        <v/>
      </c>
    </row>
    <row r="23" spans="1:6" x14ac:dyDescent="0.3">
      <c r="A23" t="s">
        <v>12</v>
      </c>
      <c r="B23" t="s">
        <v>30</v>
      </c>
      <c r="C23" t="str">
        <f>MarketData!$E$25</f>
        <v>EUR-EONIA_IR_SWAP_RATE_EUR_2D_1D_21M#0000</v>
      </c>
      <c r="E23" t="str">
        <f>_xll.qlQxOISRateHelper("EONIA_OIS_21M",2,"21M",C23,Indexes!$B$15,"Actual/360","TARGET",1,"Annual","Following","Following","Backward","",TRUE,FALSE,FALSE,Indexes!$B$31)</f>
        <v>EONIA_OIS_21M#0000</v>
      </c>
      <c r="F23" t="str">
        <f>_xll.ohRangeRetrieveError(E23)</f>
        <v/>
      </c>
    </row>
    <row r="24" spans="1:6" x14ac:dyDescent="0.3">
      <c r="A24" t="s">
        <v>12</v>
      </c>
      <c r="B24" t="s">
        <v>31</v>
      </c>
      <c r="C24" t="str">
        <f>MarketData!$E$26</f>
        <v>EUR-EONIA_IR_SWAP_RATE_EUR_2D_1D_2Y#0000</v>
      </c>
      <c r="E24" t="str">
        <f>_xll.qlQxOISRateHelper("EONIA_OIS_2Y",2,"2Y",C24,Indexes!$B$15,"Actual/360","TARGET",1,"Annual","Following","Following","Backward","",TRUE,FALSE,FALSE,Indexes!$B$31)</f>
        <v>EONIA_OIS_2Y#0000</v>
      </c>
      <c r="F24" t="str">
        <f>_xll.ohRangeRetrieveError(E24)</f>
        <v/>
      </c>
    </row>
    <row r="25" spans="1:6" x14ac:dyDescent="0.3">
      <c r="A25" t="s">
        <v>12</v>
      </c>
      <c r="B25" t="s">
        <v>32</v>
      </c>
      <c r="C25" t="str">
        <f>MarketData!$E$27</f>
        <v>EUR-EONIA_IR_SWAP_RATE_EUR_2D_1D_3Y#0000</v>
      </c>
      <c r="E25" t="str">
        <f>_xll.qlQxOISRateHelper("EONIA_OIS_3Y",2,"3Y",C25,Indexes!$B$15,"Actual/360","TARGET",1,"Annual","Following","Following","Backward","",TRUE,FALSE,FALSE,Indexes!$B$31)</f>
        <v>EONIA_OIS_3Y#0000</v>
      </c>
      <c r="F25" t="str">
        <f>_xll.ohRangeRetrieveError(E25)</f>
        <v/>
      </c>
    </row>
    <row r="26" spans="1:6" x14ac:dyDescent="0.3">
      <c r="A26" t="s">
        <v>12</v>
      </c>
      <c r="B26" t="s">
        <v>33</v>
      </c>
      <c r="C26" t="str">
        <f>MarketData!$E$28</f>
        <v>EUR-EONIA_IR_SWAP_RATE_EUR_2D_1D_4Y#0000</v>
      </c>
      <c r="E26" t="str">
        <f>_xll.qlQxOISRateHelper("EONIA_OIS_4Y",2,"4Y",C26,Indexes!$B$15,"Actual/360","TARGET",1,"Annual","Following","Following","Backward","",TRUE,FALSE,FALSE,Indexes!$B$31)</f>
        <v>EONIA_OIS_4Y#0000</v>
      </c>
      <c r="F26" t="str">
        <f>_xll.ohRangeRetrieveError(E26)</f>
        <v/>
      </c>
    </row>
    <row r="27" spans="1:6" x14ac:dyDescent="0.3">
      <c r="A27" t="s">
        <v>12</v>
      </c>
      <c r="B27" t="s">
        <v>34</v>
      </c>
      <c r="C27" t="str">
        <f>MarketData!$E$29</f>
        <v>EUR-EONIA_IR_SWAP_RATE_EUR_2D_1D_5Y#0000</v>
      </c>
      <c r="E27" t="str">
        <f>_xll.qlQxOISRateHelper("EONIA_OIS_5Y",2,"5Y",C27,Indexes!$B$15,"Actual/360","TARGET",1,"Annual","Following","Following","Backward","",TRUE,FALSE,FALSE,Indexes!$B$31)</f>
        <v>EONIA_OIS_5Y#0000</v>
      </c>
      <c r="F27" t="str">
        <f>_xll.ohRangeRetrieveError(E27)</f>
        <v/>
      </c>
    </row>
    <row r="28" spans="1:6" x14ac:dyDescent="0.3">
      <c r="A28" t="s">
        <v>12</v>
      </c>
      <c r="B28" t="s">
        <v>35</v>
      </c>
      <c r="C28" t="str">
        <f>MarketData!$E$30</f>
        <v>EUR-EONIA_IR_SWAP_RATE_EUR_2D_1D_6Y#0000</v>
      </c>
      <c r="E28" t="str">
        <f>_xll.qlQxOISRateHelper("EONIA_OIS_6Y",2,"6Y",C28,Indexes!$B$15,"Actual/360","TARGET",1,"Annual","Following","Following","Backward","",TRUE,FALSE,FALSE,Indexes!$B$31)</f>
        <v>EONIA_OIS_6Y#0000</v>
      </c>
      <c r="F28" t="str">
        <f>_xll.ohRangeRetrieveError(E28)</f>
        <v/>
      </c>
    </row>
    <row r="29" spans="1:6" x14ac:dyDescent="0.3">
      <c r="A29" t="s">
        <v>12</v>
      </c>
      <c r="B29" t="s">
        <v>36</v>
      </c>
      <c r="C29" t="str">
        <f>MarketData!$E$31</f>
        <v>EUR-EONIA_IR_SWAP_RATE_EUR_2D_1D_7Y#0000</v>
      </c>
      <c r="E29" t="str">
        <f>_xll.qlQxOISRateHelper("EONIA_OIS_7Y",2,"7Y",C29,Indexes!$B$15,"Actual/360","TARGET",1,"Annual","Following","Following","Backward","",TRUE,FALSE,FALSE,Indexes!$B$31)</f>
        <v>EONIA_OIS_7Y#0000</v>
      </c>
      <c r="F29" t="str">
        <f>_xll.ohRangeRetrieveError(E29)</f>
        <v/>
      </c>
    </row>
    <row r="30" spans="1:6" x14ac:dyDescent="0.3">
      <c r="A30" t="s">
        <v>12</v>
      </c>
      <c r="B30" t="s">
        <v>37</v>
      </c>
      <c r="C30" t="str">
        <f>MarketData!$E$32</f>
        <v>EUR-EONIA_IR_SWAP_RATE_EUR_2D_1D_8Y#0000</v>
      </c>
      <c r="E30" t="str">
        <f>_xll.qlQxOISRateHelper("EONIA_OIS_8Y",2,"8Y",C30,Indexes!$B$15,"Actual/360","TARGET",1,"Annual","Following","Following","Backward","",TRUE,FALSE,FALSE,Indexes!$B$31)</f>
        <v>EONIA_OIS_8Y#0000</v>
      </c>
      <c r="F30" t="str">
        <f>_xll.ohRangeRetrieveError(E30)</f>
        <v/>
      </c>
    </row>
    <row r="31" spans="1:6" x14ac:dyDescent="0.3">
      <c r="A31" t="s">
        <v>12</v>
      </c>
      <c r="B31" t="s">
        <v>38</v>
      </c>
      <c r="C31" t="str">
        <f>MarketData!$E$33</f>
        <v>EUR-EONIA_IR_SWAP_RATE_EUR_2D_1D_9Y#0000</v>
      </c>
      <c r="E31" t="str">
        <f>_xll.qlQxOISRateHelper("EONIA_OIS_9Y",2,"9Y",C31,Indexes!$B$15,"Actual/360","TARGET",1,"Annual","Following","Following","Backward","",TRUE,FALSE,FALSE,Indexes!$B$31)</f>
        <v>EONIA_OIS_9Y#0000</v>
      </c>
      <c r="F31" t="str">
        <f>_xll.ohRangeRetrieveError(E31)</f>
        <v/>
      </c>
    </row>
    <row r="32" spans="1:6" x14ac:dyDescent="0.3">
      <c r="A32" t="s">
        <v>12</v>
      </c>
      <c r="B32" t="s">
        <v>39</v>
      </c>
      <c r="C32" t="str">
        <f>MarketData!$E$34</f>
        <v>EUR-EONIA_IR_SWAP_RATE_EUR_2D_1D_10Y#0000</v>
      </c>
      <c r="E32" t="str">
        <f>_xll.qlQxOISRateHelper("EONIA_OIS_10Y",2,"10Y",C32,Indexes!$B$15,"Actual/360","TARGET",1,"Annual","Following","Following","Backward","",TRUE,FALSE,FALSE,Indexes!$B$31)</f>
        <v>EONIA_OIS_10Y#0000</v>
      </c>
      <c r="F32" t="str">
        <f>_xll.ohRangeRetrieveError(E32)</f>
        <v/>
      </c>
    </row>
    <row r="33" spans="1:6" x14ac:dyDescent="0.3">
      <c r="A33" t="s">
        <v>12</v>
      </c>
      <c r="B33" t="s">
        <v>40</v>
      </c>
      <c r="C33" t="str">
        <f>MarketData!$E$35</f>
        <v>EUR-EONIA_IR_SWAP_RATE_EUR_2D_1D_11Y#0000</v>
      </c>
      <c r="E33" t="str">
        <f>_xll.qlQxOISRateHelper("EONIA_OIS_11Y",2,"11Y",C33,Indexes!$B$15,"Actual/360","TARGET",1,"Annual","Following","Following","Backward","",TRUE,FALSE,FALSE,Indexes!$B$31)</f>
        <v>EONIA_OIS_11Y#0000</v>
      </c>
      <c r="F33" t="str">
        <f>_xll.ohRangeRetrieveError(E33)</f>
        <v/>
      </c>
    </row>
    <row r="34" spans="1:6" x14ac:dyDescent="0.3">
      <c r="A34" t="s">
        <v>12</v>
      </c>
      <c r="B34" t="s">
        <v>41</v>
      </c>
      <c r="C34" t="str">
        <f>MarketData!$E$36</f>
        <v>EUR-EONIA_IR_SWAP_RATE_EUR_2D_1D_12Y#0000</v>
      </c>
      <c r="E34" t="str">
        <f>_xll.qlQxOISRateHelper("EONIA_OIS_12Y",2,"12Y",C34,Indexes!$B$15,"Actual/360","TARGET",1,"Annual","Following","Following","Backward","",TRUE,FALSE,FALSE,Indexes!$B$31)</f>
        <v>EONIA_OIS_12Y#0000</v>
      </c>
      <c r="F34" t="str">
        <f>_xll.ohRangeRetrieveError(E34)</f>
        <v/>
      </c>
    </row>
    <row r="35" spans="1:6" x14ac:dyDescent="0.3">
      <c r="A35" t="s">
        <v>12</v>
      </c>
      <c r="B35" t="s">
        <v>42</v>
      </c>
      <c r="C35" t="str">
        <f>MarketData!$E$37</f>
        <v>EUR-EONIA_IR_SWAP_RATE_EUR_2D_1D_15Y#0000</v>
      </c>
      <c r="E35" t="str">
        <f>_xll.qlQxOISRateHelper("EONIA_OIS_15Y",2,"15Y",C35,Indexes!$B$15,"Actual/360","TARGET",1,"Annual","Following","Following","Backward","",TRUE,FALSE,FALSE,Indexes!$B$31)</f>
        <v>EONIA_OIS_15Y#0000</v>
      </c>
      <c r="F35" t="str">
        <f>_xll.ohRangeRetrieveError(E35)</f>
        <v/>
      </c>
    </row>
    <row r="36" spans="1:6" x14ac:dyDescent="0.3">
      <c r="A36" t="s">
        <v>12</v>
      </c>
      <c r="B36" t="s">
        <v>43</v>
      </c>
      <c r="C36" t="str">
        <f>MarketData!$E$38</f>
        <v>EUR-EONIA_IR_SWAP_RATE_EUR_2D_1D_20Y#0000</v>
      </c>
      <c r="E36" t="str">
        <f>_xll.qlQxOISRateHelper("EONIA_OIS_20Y",2,"20Y",C36,Indexes!$B$15,"Actual/360","TARGET",1,"Annual","Following","Following","Backward","",TRUE,FALSE,FALSE,Indexes!$B$31)</f>
        <v>EONIA_OIS_20Y#0000</v>
      </c>
      <c r="F36" t="str">
        <f>_xll.ohRangeRetrieveError(E36)</f>
        <v/>
      </c>
    </row>
    <row r="37" spans="1:6" x14ac:dyDescent="0.3">
      <c r="A37" t="s">
        <v>12</v>
      </c>
      <c r="B37" t="s">
        <v>44</v>
      </c>
      <c r="C37" t="str">
        <f>MarketData!$E$39</f>
        <v>EUR-EONIA_IR_SWAP_RATE_EUR_2D_1D_25Y#0000</v>
      </c>
      <c r="E37" t="str">
        <f>_xll.qlQxOISRateHelper("EONIA_OIS_25Y",2,"25Y",C37,Indexes!$B$15,"Actual/360","TARGET",1,"Annual","Following","Following","Backward","",TRUE,FALSE,FALSE,Indexes!$B$31)</f>
        <v>EONIA_OIS_25Y#0000</v>
      </c>
      <c r="F37" t="str">
        <f>_xll.ohRangeRetrieveError(E37)</f>
        <v/>
      </c>
    </row>
    <row r="38" spans="1:6" x14ac:dyDescent="0.3">
      <c r="A38" t="s">
        <v>12</v>
      </c>
      <c r="B38" t="s">
        <v>45</v>
      </c>
      <c r="C38" t="str">
        <f>MarketData!$E$40</f>
        <v>EUR-EONIA_IR_SWAP_RATE_EUR_2D_1D_30Y#0000</v>
      </c>
      <c r="E38" t="str">
        <f>_xll.qlQxOISRateHelper("EONIA_OIS_30Y",2,"30Y",C38,Indexes!$B$15,"Actual/360","TARGET",1,"Annual","Following","Following","Backward","",TRUE,FALSE,FALSE,Indexes!$B$31)</f>
        <v>EONIA_OIS_30Y#0000</v>
      </c>
      <c r="F38" t="str">
        <f>_xll.ohRangeRetrieveError(E38)</f>
        <v/>
      </c>
    </row>
    <row r="40" spans="1:6" x14ac:dyDescent="0.3">
      <c r="A40" t="s">
        <v>3</v>
      </c>
      <c r="B40" t="str">
        <f>_xll.qlPiecewiseYieldCurve("C_EUR-EONIA",0,"TARGET",E5:E38,"Actual/365 (Fixed)",,,"Discount","LogLinear",FALSE,Indexes!$B$31)</f>
        <v>C_EUR-EONIA#0000</v>
      </c>
      <c r="C40" t="str">
        <f>_xll.ohRangeRetrieveError(B40)</f>
        <v/>
      </c>
      <c r="D40" t="b">
        <f>_xll.qlExtrapolatorEnableExtrapolation(B40,TRUE)</f>
        <v>1</v>
      </c>
    </row>
    <row r="41" spans="1:6" x14ac:dyDescent="0.3">
      <c r="A41" t="s">
        <v>268</v>
      </c>
      <c r="B41" t="b">
        <f>_xll.qlRelinkableHandleLinkTo(Indexes!$B$6,B40,D40)</f>
        <v>1</v>
      </c>
      <c r="C41" t="str">
        <f>_xll.ohRangeRetrieveError(B41)</f>
        <v/>
      </c>
    </row>
    <row r="43" spans="1:6" x14ac:dyDescent="0.3">
      <c r="A43" s="2" t="s">
        <v>261</v>
      </c>
      <c r="B43" s="2" t="s">
        <v>262</v>
      </c>
      <c r="C43" s="2" t="s">
        <v>263</v>
      </c>
      <c r="D43" s="2" t="s">
        <v>241</v>
      </c>
      <c r="E43" s="2" t="s">
        <v>264</v>
      </c>
    </row>
    <row r="44" spans="1:6" x14ac:dyDescent="0.3">
      <c r="A44" s="1">
        <f>DATE(2019,12,31)</f>
        <v>43830</v>
      </c>
      <c r="B44" s="3">
        <v>1.0000126112701533</v>
      </c>
      <c r="C44" s="3">
        <f>_xll.qlYieldTSDiscount($B$40,A44,TRUE,$B$41)</f>
        <v>1.0000126112701533</v>
      </c>
      <c r="D44" s="4">
        <f t="shared" ref="D44:D77" si="0">C44-B44</f>
        <v>0</v>
      </c>
      <c r="E44" s="4">
        <f t="shared" ref="E44:E77" si="1">D44/B44</f>
        <v>0</v>
      </c>
    </row>
    <row r="45" spans="1:6" x14ac:dyDescent="0.3">
      <c r="A45" s="1">
        <f>DATE(2020,1,10)</f>
        <v>43840</v>
      </c>
      <c r="B45" s="3">
        <v>1.0001426272760956</v>
      </c>
      <c r="C45" s="3">
        <f>_xll.qlYieldTSDiscount($B$40,A45,TRUE,$B$41)</f>
        <v>1.0001426272760956</v>
      </c>
      <c r="D45" s="4">
        <f t="shared" si="0"/>
        <v>0</v>
      </c>
      <c r="E45" s="4">
        <f t="shared" si="1"/>
        <v>0</v>
      </c>
    </row>
    <row r="46" spans="1:6" x14ac:dyDescent="0.3">
      <c r="A46" s="1">
        <f>DATE(2020,1,17)</f>
        <v>43847</v>
      </c>
      <c r="B46" s="3">
        <v>1.0002254882036035</v>
      </c>
      <c r="C46" s="3">
        <f>_xll.qlYieldTSDiscount($B$40,A46,TRUE,$B$41)</f>
        <v>1.0002254882036035</v>
      </c>
      <c r="D46" s="4">
        <f t="shared" si="0"/>
        <v>0</v>
      </c>
      <c r="E46" s="4">
        <f t="shared" si="1"/>
        <v>0</v>
      </c>
    </row>
    <row r="47" spans="1:6" x14ac:dyDescent="0.3">
      <c r="A47" s="1">
        <f>DATE(2020,1,24)</f>
        <v>43854</v>
      </c>
      <c r="B47" s="3">
        <v>1.0003253863070567</v>
      </c>
      <c r="C47" s="3">
        <f>_xll.qlYieldTSDiscount($B$40,A47,TRUE,$B$41)</f>
        <v>1.0003253863070567</v>
      </c>
      <c r="D47" s="4">
        <f t="shared" si="0"/>
        <v>0</v>
      </c>
      <c r="E47" s="4">
        <f t="shared" si="1"/>
        <v>0</v>
      </c>
    </row>
    <row r="48" spans="1:6" x14ac:dyDescent="0.3">
      <c r="A48" s="1">
        <f>DATE(2020,2,4)</f>
        <v>43865</v>
      </c>
      <c r="B48" s="3">
        <v>1.0004483680807117</v>
      </c>
      <c r="C48" s="3">
        <f>_xll.qlYieldTSDiscount($B$40,A48,TRUE,$B$41)</f>
        <v>1.0004483680807117</v>
      </c>
      <c r="D48" s="4">
        <f t="shared" si="0"/>
        <v>0</v>
      </c>
      <c r="E48" s="4">
        <f t="shared" si="1"/>
        <v>0</v>
      </c>
    </row>
    <row r="49" spans="1:5" x14ac:dyDescent="0.3">
      <c r="A49" s="1">
        <f>DATE(2020,3,3)</f>
        <v>43893</v>
      </c>
      <c r="B49" s="3">
        <v>1.0007969838442274</v>
      </c>
      <c r="C49" s="3">
        <f>_xll.qlYieldTSDiscount($B$40,A49,TRUE,$B$41)</f>
        <v>1.0007969838442274</v>
      </c>
      <c r="D49" s="4">
        <f t="shared" si="0"/>
        <v>0</v>
      </c>
      <c r="E49" s="4">
        <f t="shared" si="1"/>
        <v>0</v>
      </c>
    </row>
    <row r="50" spans="1:5" x14ac:dyDescent="0.3">
      <c r="A50" s="1">
        <f>DATE(2020,4,3)</f>
        <v>43924</v>
      </c>
      <c r="B50" s="3">
        <v>1.0011812357064245</v>
      </c>
      <c r="C50" s="3">
        <f>_xll.qlYieldTSDiscount($B$40,A50,TRUE,$B$41)</f>
        <v>1.0011812357064245</v>
      </c>
      <c r="D50" s="4">
        <f t="shared" si="0"/>
        <v>0</v>
      </c>
      <c r="E50" s="4">
        <f t="shared" si="1"/>
        <v>0</v>
      </c>
    </row>
    <row r="51" spans="1:5" x14ac:dyDescent="0.3">
      <c r="A51" s="1">
        <f>DATE(2020,5,5)</f>
        <v>43956</v>
      </c>
      <c r="B51" s="3">
        <v>1.001578976403092</v>
      </c>
      <c r="C51" s="3">
        <f>_xll.qlYieldTSDiscount($B$40,A51,TRUE,$B$41)</f>
        <v>1.001578976403092</v>
      </c>
      <c r="D51" s="4">
        <f t="shared" si="0"/>
        <v>0</v>
      </c>
      <c r="E51" s="4">
        <f t="shared" si="1"/>
        <v>0</v>
      </c>
    </row>
    <row r="52" spans="1:5" x14ac:dyDescent="0.3">
      <c r="A52" s="1">
        <f>DATE(2020,6,3)</f>
        <v>43985</v>
      </c>
      <c r="B52" s="3">
        <v>1.0019407954129123</v>
      </c>
      <c r="C52" s="3">
        <f>_xll.qlYieldTSDiscount($B$40,A52,TRUE,$B$41)</f>
        <v>1.0019407954129123</v>
      </c>
      <c r="D52" s="4">
        <f t="shared" si="0"/>
        <v>0</v>
      </c>
      <c r="E52" s="4">
        <f t="shared" si="1"/>
        <v>0</v>
      </c>
    </row>
    <row r="53" spans="1:5" x14ac:dyDescent="0.3">
      <c r="A53" s="1">
        <f>DATE(2020,7,3)</f>
        <v>44015</v>
      </c>
      <c r="B53" s="3">
        <v>1.0023371828917205</v>
      </c>
      <c r="C53" s="3">
        <f>_xll.qlYieldTSDiscount($B$40,A53,TRUE,$B$41)</f>
        <v>1.0023371828917205</v>
      </c>
      <c r="D53" s="4">
        <f t="shared" si="0"/>
        <v>0</v>
      </c>
      <c r="E53" s="4">
        <f t="shared" si="1"/>
        <v>0</v>
      </c>
    </row>
    <row r="54" spans="1:5" x14ac:dyDescent="0.3">
      <c r="A54" s="1">
        <f>DATE(2020,8,4)</f>
        <v>44047</v>
      </c>
      <c r="B54" s="3">
        <v>1.0027203159116183</v>
      </c>
      <c r="C54" s="3">
        <f>_xll.qlYieldTSDiscount($B$40,A54,TRUE,$B$41)</f>
        <v>1.0027203159116183</v>
      </c>
      <c r="D54" s="4">
        <f t="shared" si="0"/>
        <v>0</v>
      </c>
      <c r="E54" s="4">
        <f t="shared" si="1"/>
        <v>0</v>
      </c>
    </row>
    <row r="55" spans="1:5" x14ac:dyDescent="0.3">
      <c r="A55" s="1">
        <f>DATE(2020,9,3)</f>
        <v>44077</v>
      </c>
      <c r="B55" s="3">
        <v>1.003099802886211</v>
      </c>
      <c r="C55" s="3">
        <f>_xll.qlYieldTSDiscount($B$40,A55,TRUE,$B$41)</f>
        <v>1.003099802886211</v>
      </c>
      <c r="D55" s="4">
        <f t="shared" si="0"/>
        <v>0</v>
      </c>
      <c r="E55" s="4">
        <f t="shared" si="1"/>
        <v>0</v>
      </c>
    </row>
    <row r="56" spans="1:5" x14ac:dyDescent="0.3">
      <c r="A56" s="1">
        <f>DATE(2020,10,5)</f>
        <v>44109</v>
      </c>
      <c r="B56" s="3">
        <v>1.0035042435081141</v>
      </c>
      <c r="C56" s="3">
        <f>_xll.qlYieldTSDiscount($B$40,A56,TRUE,$B$41)</f>
        <v>1.0035042435081141</v>
      </c>
      <c r="D56" s="4">
        <f t="shared" si="0"/>
        <v>0</v>
      </c>
      <c r="E56" s="4">
        <f t="shared" si="1"/>
        <v>0</v>
      </c>
    </row>
    <row r="57" spans="1:5" x14ac:dyDescent="0.3">
      <c r="A57" s="1">
        <f>DATE(2020,11,3)</f>
        <v>44138</v>
      </c>
      <c r="B57" s="3">
        <v>1.003872578918898</v>
      </c>
      <c r="C57" s="3">
        <f>_xll.qlYieldTSDiscount($B$40,A57,TRUE,$B$41)</f>
        <v>1.003872578918898</v>
      </c>
      <c r="D57" s="4">
        <f t="shared" si="0"/>
        <v>0</v>
      </c>
      <c r="E57" s="4">
        <f t="shared" si="1"/>
        <v>0</v>
      </c>
    </row>
    <row r="58" spans="1:5" x14ac:dyDescent="0.3">
      <c r="A58" s="1">
        <f>DATE(2020,12,3)</f>
        <v>44168</v>
      </c>
      <c r="B58" s="3">
        <v>1.0042508656647418</v>
      </c>
      <c r="C58" s="3">
        <f>_xll.qlYieldTSDiscount($B$40,A58,TRUE,$B$41)</f>
        <v>1.0042508656647418</v>
      </c>
      <c r="D58" s="4">
        <f t="shared" si="0"/>
        <v>0</v>
      </c>
      <c r="E58" s="4">
        <f t="shared" si="1"/>
        <v>0</v>
      </c>
    </row>
    <row r="59" spans="1:5" x14ac:dyDescent="0.3">
      <c r="A59" s="1">
        <f>DATE(2021,1,5)</f>
        <v>44201</v>
      </c>
      <c r="B59" s="3">
        <v>1.0046675191150387</v>
      </c>
      <c r="C59" s="3">
        <f>_xll.qlYieldTSDiscount($B$40,A59,TRUE,$B$41)</f>
        <v>1.0046675191150387</v>
      </c>
      <c r="D59" s="4">
        <f t="shared" si="0"/>
        <v>0</v>
      </c>
      <c r="E59" s="4">
        <f t="shared" si="1"/>
        <v>0</v>
      </c>
    </row>
    <row r="60" spans="1:5" x14ac:dyDescent="0.3">
      <c r="A60" s="1">
        <f>DATE(2021,4,7)</f>
        <v>44293</v>
      </c>
      <c r="B60" s="3">
        <v>1.0058098466357033</v>
      </c>
      <c r="C60" s="3">
        <f>_xll.qlYieldTSDiscount($B$40,A60,TRUE,$B$41)</f>
        <v>1.0058098466357033</v>
      </c>
      <c r="D60" s="4">
        <f t="shared" si="0"/>
        <v>0</v>
      </c>
      <c r="E60" s="4">
        <f t="shared" si="1"/>
        <v>0</v>
      </c>
    </row>
    <row r="61" spans="1:5" x14ac:dyDescent="0.3">
      <c r="A61" s="1">
        <f>DATE(2021,7,5)</f>
        <v>44382</v>
      </c>
      <c r="B61" s="3">
        <v>1.0069196788369734</v>
      </c>
      <c r="C61" s="3">
        <f>_xll.qlYieldTSDiscount($B$40,A61,TRUE,$B$41)</f>
        <v>1.0069196788369734</v>
      </c>
      <c r="D61" s="4">
        <f t="shared" si="0"/>
        <v>0</v>
      </c>
      <c r="E61" s="4">
        <f t="shared" si="1"/>
        <v>0</v>
      </c>
    </row>
    <row r="62" spans="1:5" x14ac:dyDescent="0.3">
      <c r="A62" s="1">
        <f>DATE(2021,10,5)</f>
        <v>44474</v>
      </c>
      <c r="B62" s="3">
        <v>1.0079675745147085</v>
      </c>
      <c r="C62" s="3">
        <f>_xll.qlYieldTSDiscount($B$40,A62,TRUE,$B$41)</f>
        <v>1.0079675745147085</v>
      </c>
      <c r="D62" s="4">
        <f t="shared" si="0"/>
        <v>0</v>
      </c>
      <c r="E62" s="4">
        <f t="shared" si="1"/>
        <v>0</v>
      </c>
    </row>
    <row r="63" spans="1:5" x14ac:dyDescent="0.3">
      <c r="A63" s="1">
        <f>DATE(2022,1,4)</f>
        <v>44565</v>
      </c>
      <c r="B63" s="3">
        <v>1.0088713405974923</v>
      </c>
      <c r="C63" s="3">
        <f>_xll.qlYieldTSDiscount($B$40,A63,TRUE,$B$41)</f>
        <v>1.0088713405974923</v>
      </c>
      <c r="D63" s="4">
        <f t="shared" si="0"/>
        <v>0</v>
      </c>
      <c r="E63" s="4">
        <f t="shared" si="1"/>
        <v>0</v>
      </c>
    </row>
    <row r="64" spans="1:5" x14ac:dyDescent="0.3">
      <c r="A64" s="1">
        <f>DATE(2023,1,3)</f>
        <v>44929</v>
      </c>
      <c r="B64" s="3">
        <v>1.0122378679031208</v>
      </c>
      <c r="C64" s="3">
        <f>_xll.qlYieldTSDiscount($B$40,A64,TRUE,$B$41)</f>
        <v>1.0122378679031208</v>
      </c>
      <c r="D64" s="4">
        <f t="shared" si="0"/>
        <v>0</v>
      </c>
      <c r="E64" s="4">
        <f t="shared" si="1"/>
        <v>0</v>
      </c>
    </row>
    <row r="65" spans="1:5" x14ac:dyDescent="0.3">
      <c r="A65" s="1">
        <f>DATE(2024,1,3)</f>
        <v>45294</v>
      </c>
      <c r="B65" s="3">
        <v>1.0143910128371973</v>
      </c>
      <c r="C65" s="3">
        <f>_xll.qlYieldTSDiscount($B$40,A65,TRUE,$B$41)</f>
        <v>1.0143910128371973</v>
      </c>
      <c r="D65" s="4">
        <f t="shared" si="0"/>
        <v>0</v>
      </c>
      <c r="E65" s="4">
        <f t="shared" si="1"/>
        <v>0</v>
      </c>
    </row>
    <row r="66" spans="1:5" x14ac:dyDescent="0.3">
      <c r="A66" s="1">
        <f>DATE(2025,1,3)</f>
        <v>45660</v>
      </c>
      <c r="B66" s="3">
        <v>1.0150226539795955</v>
      </c>
      <c r="C66" s="3">
        <f>_xll.qlYieldTSDiscount($B$40,A66,TRUE,$B$41)</f>
        <v>1.0150226539795955</v>
      </c>
      <c r="D66" s="4">
        <f t="shared" si="0"/>
        <v>0</v>
      </c>
      <c r="E66" s="4">
        <f t="shared" si="1"/>
        <v>0</v>
      </c>
    </row>
    <row r="67" spans="1:5" x14ac:dyDescent="0.3">
      <c r="A67" s="1">
        <f>DATE(2026,1,5)</f>
        <v>46027</v>
      </c>
      <c r="B67" s="3">
        <v>1.0143847773703354</v>
      </c>
      <c r="C67" s="3">
        <f>_xll.qlYieldTSDiscount($B$40,A67,TRUE,$B$41)</f>
        <v>1.0143847773703354</v>
      </c>
      <c r="D67" s="4">
        <f t="shared" si="0"/>
        <v>0</v>
      </c>
      <c r="E67" s="4">
        <f t="shared" si="1"/>
        <v>0</v>
      </c>
    </row>
    <row r="68" spans="1:5" x14ac:dyDescent="0.3">
      <c r="A68" s="1">
        <f>DATE(2027,1,5)</f>
        <v>46392</v>
      </c>
      <c r="B68" s="3">
        <v>1.0119329477525527</v>
      </c>
      <c r="C68" s="3">
        <f>_xll.qlYieldTSDiscount($B$40,A68,TRUE,$B$41)</f>
        <v>1.0119329477525527</v>
      </c>
      <c r="D68" s="4">
        <f t="shared" si="0"/>
        <v>0</v>
      </c>
      <c r="E68" s="4">
        <f t="shared" si="1"/>
        <v>0</v>
      </c>
    </row>
    <row r="69" spans="1:5" x14ac:dyDescent="0.3">
      <c r="A69" s="1">
        <f>DATE(2028,1,4)</f>
        <v>46756</v>
      </c>
      <c r="B69" s="3">
        <v>1.0087333090062232</v>
      </c>
      <c r="C69" s="3">
        <f>_xll.qlYieldTSDiscount($B$40,A69,TRUE,$B$41)</f>
        <v>1.0087333090062232</v>
      </c>
      <c r="D69" s="4">
        <f t="shared" si="0"/>
        <v>0</v>
      </c>
      <c r="E69" s="4">
        <f t="shared" si="1"/>
        <v>0</v>
      </c>
    </row>
    <row r="70" spans="1:5" x14ac:dyDescent="0.3">
      <c r="A70" s="1">
        <f>DATE(2029,1,3)</f>
        <v>47121</v>
      </c>
      <c r="B70" s="3">
        <v>1.0038086857432749</v>
      </c>
      <c r="C70" s="3">
        <f>_xll.qlYieldTSDiscount($B$40,A70,TRUE,$B$41)</f>
        <v>1.0038086857432749</v>
      </c>
      <c r="D70" s="4">
        <f t="shared" si="0"/>
        <v>0</v>
      </c>
      <c r="E70" s="4">
        <f t="shared" si="1"/>
        <v>0</v>
      </c>
    </row>
    <row r="71" spans="1:5" x14ac:dyDescent="0.3">
      <c r="A71" s="1">
        <f>DATE(2030,1,3)</f>
        <v>47486</v>
      </c>
      <c r="B71" s="3">
        <v>0.99756355109261396</v>
      </c>
      <c r="C71" s="3">
        <f>_xll.qlYieldTSDiscount($B$40,A71,TRUE,$B$41)</f>
        <v>0.99756355109261396</v>
      </c>
      <c r="D71" s="4">
        <f t="shared" si="0"/>
        <v>0</v>
      </c>
      <c r="E71" s="4">
        <f t="shared" si="1"/>
        <v>0</v>
      </c>
    </row>
    <row r="72" spans="1:5" x14ac:dyDescent="0.3">
      <c r="A72" s="1">
        <f>DATE(2031,1,3)</f>
        <v>47851</v>
      </c>
      <c r="B72" s="3">
        <v>0.99034833259530453</v>
      </c>
      <c r="C72" s="3">
        <f>_xll.qlYieldTSDiscount($B$40,A72,TRUE,$B$41)</f>
        <v>0.99034833259530453</v>
      </c>
      <c r="D72" s="4">
        <f t="shared" si="0"/>
        <v>0</v>
      </c>
      <c r="E72" s="4">
        <f t="shared" si="1"/>
        <v>0</v>
      </c>
    </row>
    <row r="73" spans="1:5" x14ac:dyDescent="0.3">
      <c r="A73" s="1">
        <f>DATE(2032,1,5)</f>
        <v>48218</v>
      </c>
      <c r="B73" s="3">
        <v>0.9820999761431326</v>
      </c>
      <c r="C73" s="3">
        <f>_xll.qlYieldTSDiscount($B$40,A73,TRUE,$B$41)</f>
        <v>0.9820999761431326</v>
      </c>
      <c r="D73" s="4">
        <f t="shared" si="0"/>
        <v>0</v>
      </c>
      <c r="E73" s="4">
        <f t="shared" si="1"/>
        <v>0</v>
      </c>
    </row>
    <row r="74" spans="1:5" x14ac:dyDescent="0.3">
      <c r="A74" s="1">
        <f>DATE(2035,1,3)</f>
        <v>49312</v>
      </c>
      <c r="B74" s="3">
        <v>0.95509441439674103</v>
      </c>
      <c r="C74" s="3">
        <f>_xll.qlYieldTSDiscount($B$40,A74,TRUE,$B$41)</f>
        <v>0.95509441439674103</v>
      </c>
      <c r="D74" s="4">
        <f t="shared" si="0"/>
        <v>0</v>
      </c>
      <c r="E74" s="4">
        <f t="shared" si="1"/>
        <v>0</v>
      </c>
    </row>
    <row r="75" spans="1:5" x14ac:dyDescent="0.3">
      <c r="A75" s="1">
        <f>DATE(2040,1,3)</f>
        <v>51138</v>
      </c>
      <c r="B75" s="3">
        <v>0.91279539912451801</v>
      </c>
      <c r="C75" s="3">
        <f>_xll.qlYieldTSDiscount($B$40,A75,TRUE,$B$41)</f>
        <v>0.91279539912451801</v>
      </c>
      <c r="D75" s="4">
        <f t="shared" si="0"/>
        <v>0</v>
      </c>
      <c r="E75" s="4">
        <f t="shared" si="1"/>
        <v>0</v>
      </c>
    </row>
    <row r="76" spans="1:5" x14ac:dyDescent="0.3">
      <c r="A76" s="1">
        <f>DATE(2045,1,3)</f>
        <v>52965</v>
      </c>
      <c r="B76" s="3">
        <v>0.8815480484856717</v>
      </c>
      <c r="C76" s="3">
        <f>_xll.qlYieldTSDiscount($B$40,A76,TRUE,$B$41)</f>
        <v>0.8815480484856717</v>
      </c>
      <c r="D76" s="4">
        <f t="shared" si="0"/>
        <v>0</v>
      </c>
      <c r="E76" s="4">
        <f t="shared" si="1"/>
        <v>0</v>
      </c>
    </row>
    <row r="77" spans="1:5" x14ac:dyDescent="0.3">
      <c r="A77" s="1">
        <f>DATE(2050,1,4)</f>
        <v>54792</v>
      </c>
      <c r="B77" s="3">
        <v>0.85875032229722892</v>
      </c>
      <c r="C77" s="3">
        <f>_xll.qlYieldTSDiscount($B$40,A77,TRUE,$B$41)</f>
        <v>0.85875032229722892</v>
      </c>
      <c r="D77" s="4">
        <f t="shared" si="0"/>
        <v>0</v>
      </c>
      <c r="E77" s="4">
        <f t="shared" si="1"/>
        <v>0</v>
      </c>
    </row>
    <row r="79" spans="1:5" x14ac:dyDescent="0.3">
      <c r="A79" t="s">
        <v>265</v>
      </c>
      <c r="D79" s="4">
        <f>MAX(ABS(MIN(D44:D77)),ABS(MAX(D44:D77)))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1373-D6D3-44D7-9F18-9FF0FE16BF6C}">
  <dimension ref="A1:F63"/>
  <sheetViews>
    <sheetView workbookViewId="0"/>
  </sheetViews>
  <sheetFormatPr defaultRowHeight="14.4" x14ac:dyDescent="0.3"/>
  <cols>
    <col min="1" max="1" width="30.77734375" customWidth="1"/>
    <col min="2" max="2" width="40.77734375" customWidth="1"/>
    <col min="3" max="6" width="22.77734375" customWidth="1"/>
  </cols>
  <sheetData>
    <row r="1" spans="1:6" x14ac:dyDescent="0.3">
      <c r="A1" s="2" t="s">
        <v>269</v>
      </c>
    </row>
    <row r="2" spans="1:6" x14ac:dyDescent="0.3">
      <c r="A2" t="s">
        <v>270</v>
      </c>
    </row>
    <row r="4" spans="1:6" x14ac:dyDescent="0.3">
      <c r="A4" s="2" t="s">
        <v>4</v>
      </c>
      <c r="B4" s="2" t="s">
        <v>247</v>
      </c>
      <c r="C4" s="2" t="s">
        <v>248</v>
      </c>
      <c r="D4" s="2"/>
      <c r="E4" s="2" t="s">
        <v>250</v>
      </c>
      <c r="F4" s="2" t="s">
        <v>8</v>
      </c>
    </row>
    <row r="5" spans="1:6" x14ac:dyDescent="0.3">
      <c r="A5" t="s">
        <v>10</v>
      </c>
      <c r="B5" t="s">
        <v>176</v>
      </c>
      <c r="C5" t="str">
        <f>MarketData!$E$160</f>
        <v>USD-LIBOR-3M_MM_RATE_USD_2D_3M#0000</v>
      </c>
      <c r="E5" t="str">
        <f>_xll.qlDepositRateHelper2("LIBOR3M_DEP",C5,"3M",2,"UnitedKingdom::Exchange","Modified Following",TRUE,"Actual/360",FALSE,Indexes!$B$31)</f>
        <v>LIBOR3M_DEP#0000</v>
      </c>
      <c r="F5" t="str">
        <f>_xll.ohRangeRetrieveError(E5)</f>
        <v/>
      </c>
    </row>
    <row r="6" spans="1:6" x14ac:dyDescent="0.3">
      <c r="A6" t="s">
        <v>48</v>
      </c>
      <c r="B6" t="s">
        <v>177</v>
      </c>
      <c r="C6" t="str">
        <f>MarketData!$E$161</f>
        <v>USD-LIBOR-3M_FRA_RATE_USD_1M_3M#0000</v>
      </c>
      <c r="E6" t="str">
        <f>_xll.qlFraRateHelper("LIBOR3M_FRA_1M",C6,"1M",Indexes!$B$16,"LastRelevantDate",,FALSE,Indexes!$B$31)</f>
        <v>LIBOR3M_FRA_1M#0000</v>
      </c>
      <c r="F6" t="str">
        <f>_xll.ohRangeRetrieveError(E6)</f>
        <v/>
      </c>
    </row>
    <row r="7" spans="1:6" x14ac:dyDescent="0.3">
      <c r="A7" t="s">
        <v>48</v>
      </c>
      <c r="B7" t="s">
        <v>178</v>
      </c>
      <c r="C7" t="str">
        <f>MarketData!$E$162</f>
        <v>USD-LIBOR-3M_FRA_RATE_USD_2M_3M#0000</v>
      </c>
      <c r="E7" t="str">
        <f>_xll.qlFraRateHelper("LIBOR3M_FRA_2M",C7,"2M",Indexes!$B$16,"LastRelevantDate",,FALSE,Indexes!$B$31)</f>
        <v>LIBOR3M_FRA_2M#0000</v>
      </c>
      <c r="F7" t="str">
        <f>_xll.ohRangeRetrieveError(E7)</f>
        <v/>
      </c>
    </row>
    <row r="8" spans="1:6" x14ac:dyDescent="0.3">
      <c r="A8" t="s">
        <v>48</v>
      </c>
      <c r="B8" t="s">
        <v>179</v>
      </c>
      <c r="C8" t="str">
        <f>MarketData!$E$163</f>
        <v>USD-LIBOR-3M_FRA_RATE_USD_3M_3M#0000</v>
      </c>
      <c r="E8" t="str">
        <f>_xll.qlFraRateHelper("LIBOR3M_FRA_3M",C8,"3M",Indexes!$B$16,"LastRelevantDate",,FALSE,Indexes!$B$31)</f>
        <v>LIBOR3M_FRA_3M#0000</v>
      </c>
      <c r="F8" t="str">
        <f>_xll.ohRangeRetrieveError(E8)</f>
        <v/>
      </c>
    </row>
    <row r="9" spans="1:6" x14ac:dyDescent="0.3">
      <c r="A9" t="s">
        <v>48</v>
      </c>
      <c r="B9" t="s">
        <v>180</v>
      </c>
      <c r="C9" t="str">
        <f>MarketData!$E$164</f>
        <v>USD-LIBOR-3M_FRA_RATE_USD_4M_3M#0000</v>
      </c>
      <c r="E9" t="str">
        <f>_xll.qlFraRateHelper("LIBOR3M_FRA_4M",C9,"4M",Indexes!$B$16,"LastRelevantDate",,FALSE,Indexes!$B$31)</f>
        <v>LIBOR3M_FRA_4M#0000</v>
      </c>
      <c r="F9" t="str">
        <f>_xll.ohRangeRetrieveError(E9)</f>
        <v/>
      </c>
    </row>
    <row r="10" spans="1:6" x14ac:dyDescent="0.3">
      <c r="A10" t="s">
        <v>48</v>
      </c>
      <c r="B10" t="s">
        <v>181</v>
      </c>
      <c r="C10" t="str">
        <f>MarketData!$E$165</f>
        <v>USD-LIBOR-3M_FRA_RATE_USD_5M_3M#0000</v>
      </c>
      <c r="E10" t="str">
        <f>_xll.qlFraRateHelper("LIBOR3M_FRA_5M",C10,"5M",Indexes!$B$16,"LastRelevantDate",,FALSE,Indexes!$B$31)</f>
        <v>LIBOR3M_FRA_5M#0000</v>
      </c>
      <c r="F10" t="str">
        <f>_xll.ohRangeRetrieveError(E10)</f>
        <v/>
      </c>
    </row>
    <row r="11" spans="1:6" x14ac:dyDescent="0.3">
      <c r="A11" t="s">
        <v>48</v>
      </c>
      <c r="B11" t="s">
        <v>182</v>
      </c>
      <c r="C11" t="str">
        <f>MarketData!$E$166</f>
        <v>USD-LIBOR-3M_FRA_RATE_USD_6M_3M#0000</v>
      </c>
      <c r="E11" t="str">
        <f>_xll.qlFraRateHelper("LIBOR3M_FRA_6M",C11,"6M",Indexes!$B$16,"LastRelevantDate",,FALSE,Indexes!$B$31)</f>
        <v>LIBOR3M_FRA_6M#0000</v>
      </c>
      <c r="F11" t="str">
        <f>_xll.ohRangeRetrieveError(E11)</f>
        <v/>
      </c>
    </row>
    <row r="12" spans="1:6" x14ac:dyDescent="0.3">
      <c r="A12" t="s">
        <v>48</v>
      </c>
      <c r="B12" t="s">
        <v>183</v>
      </c>
      <c r="C12" t="str">
        <f>MarketData!$E$167</f>
        <v>USD-LIBOR-3M_FRA_RATE_USD_7M_3M#0000</v>
      </c>
      <c r="E12" t="str">
        <f>_xll.qlFraRateHelper("LIBOR3M_FRA_7M",C12,"7M",Indexes!$B$16,"LastRelevantDate",,FALSE,Indexes!$B$31)</f>
        <v>LIBOR3M_FRA_7M#0000</v>
      </c>
      <c r="F12" t="str">
        <f>_xll.ohRangeRetrieveError(E12)</f>
        <v/>
      </c>
    </row>
    <row r="13" spans="1:6" x14ac:dyDescent="0.3">
      <c r="A13" t="s">
        <v>48</v>
      </c>
      <c r="B13" t="s">
        <v>184</v>
      </c>
      <c r="C13" t="str">
        <f>MarketData!$E$168</f>
        <v>USD-LIBOR-3M_FRA_RATE_USD_8M_3M#0000</v>
      </c>
      <c r="E13" t="str">
        <f>_xll.qlFraRateHelper("LIBOR3M_FRA_8M",C13,"8M",Indexes!$B$16,"LastRelevantDate",,FALSE,Indexes!$B$31)</f>
        <v>LIBOR3M_FRA_8M#0000</v>
      </c>
      <c r="F13" t="str">
        <f>_xll.ohRangeRetrieveError(E13)</f>
        <v/>
      </c>
    </row>
    <row r="14" spans="1:6" x14ac:dyDescent="0.3">
      <c r="A14" t="s">
        <v>48</v>
      </c>
      <c r="B14" t="s">
        <v>185</v>
      </c>
      <c r="C14" t="str">
        <f>MarketData!$E$169</f>
        <v>USD-LIBOR-3M_FRA_RATE_USD_9M_3M#0000</v>
      </c>
      <c r="E14" t="str">
        <f>_xll.qlFraRateHelper("LIBOR3M_FRA_9M",C14,"9M",Indexes!$B$16,"LastRelevantDate",,FALSE,Indexes!$B$31)</f>
        <v>LIBOR3M_FRA_9M#0000</v>
      </c>
      <c r="F14" t="str">
        <f>_xll.ohRangeRetrieveError(E14)</f>
        <v/>
      </c>
    </row>
    <row r="15" spans="1:6" x14ac:dyDescent="0.3">
      <c r="A15" t="s">
        <v>86</v>
      </c>
      <c r="B15" t="s">
        <v>158</v>
      </c>
      <c r="C15" t="str">
        <f>MarketData!$E$170</f>
        <v>USD-LIBOR-3M_IR_SWAP_RATE_USD_2D_3M_2Y#0000</v>
      </c>
      <c r="E15" t="str">
        <f>_xll.qlSwapRateHelper2("LIBOR3M_SWAP_2Y",C15,,"2Y","JoinHolidays(UnitedStates::Settlement,UnitedKingdom::Settlement)","Semiannual","Modified Following","30/360 (USA)",Indexes!$B$16,0,"0D",Indexes!$B$5,"LastRelevantDate",,FALSE,'USD-FedFunds'!$B$32)</f>
        <v>LIBOR3M_SWAP_2Y#0000</v>
      </c>
      <c r="F15" t="str">
        <f>_xll.ohRangeRetrieveError(E15)</f>
        <v/>
      </c>
    </row>
    <row r="16" spans="1:6" x14ac:dyDescent="0.3">
      <c r="A16" t="s">
        <v>86</v>
      </c>
      <c r="B16" t="s">
        <v>160</v>
      </c>
      <c r="C16" t="str">
        <f>MarketData!$E$171</f>
        <v>USD-LIBOR-3M_IR_SWAP_RATE_USD_2D_3M_3Y#0000</v>
      </c>
      <c r="E16" t="str">
        <f>_xll.qlSwapRateHelper2("LIBOR3M_SWAP_3Y",C16,,"3Y","JoinHolidays(UnitedStates::Settlement,UnitedKingdom::Settlement)","Semiannual","Modified Following","30/360 (USA)",Indexes!$B$16,0,"0D",Indexes!$B$5,"LastRelevantDate",,FALSE,'USD-FedFunds'!$B$32)</f>
        <v>LIBOR3M_SWAP_3Y#0000</v>
      </c>
      <c r="F16" t="str">
        <f>_xll.ohRangeRetrieveError(E16)</f>
        <v/>
      </c>
    </row>
    <row r="17" spans="1:6" x14ac:dyDescent="0.3">
      <c r="A17" t="s">
        <v>86</v>
      </c>
      <c r="B17" t="s">
        <v>162</v>
      </c>
      <c r="C17" t="str">
        <f>MarketData!$E$172</f>
        <v>USD-LIBOR-3M_IR_SWAP_RATE_USD_2D_3M_4Y#0000</v>
      </c>
      <c r="E17" t="str">
        <f>_xll.qlSwapRateHelper2("LIBOR3M_SWAP_4Y",C17,,"4Y","JoinHolidays(UnitedStates::Settlement,UnitedKingdom::Settlement)","Semiannual","Modified Following","30/360 (USA)",Indexes!$B$16,0,"0D",Indexes!$B$5,"LastRelevantDate",,FALSE,'USD-FedFunds'!$B$32)</f>
        <v>LIBOR3M_SWAP_4Y#0000</v>
      </c>
      <c r="F17" t="str">
        <f>_xll.ohRangeRetrieveError(E17)</f>
        <v/>
      </c>
    </row>
    <row r="18" spans="1:6" x14ac:dyDescent="0.3">
      <c r="A18" t="s">
        <v>86</v>
      </c>
      <c r="B18" t="s">
        <v>164</v>
      </c>
      <c r="C18" t="str">
        <f>MarketData!$E$173</f>
        <v>USD-LIBOR-3M_IR_SWAP_RATE_USD_2D_3M_5Y#0000</v>
      </c>
      <c r="E18" t="str">
        <f>_xll.qlSwapRateHelper2("LIBOR3M_SWAP_5Y",C18,,"5Y","JoinHolidays(UnitedStates::Settlement,UnitedKingdom::Settlement)","Semiannual","Modified Following","30/360 (USA)",Indexes!$B$16,0,"0D",Indexes!$B$5,"LastRelevantDate",,FALSE,'USD-FedFunds'!$B$32)</f>
        <v>LIBOR3M_SWAP_5Y#0000</v>
      </c>
      <c r="F18" t="str">
        <f>_xll.ohRangeRetrieveError(E18)</f>
        <v/>
      </c>
    </row>
    <row r="19" spans="1:6" x14ac:dyDescent="0.3">
      <c r="A19" t="s">
        <v>86</v>
      </c>
      <c r="B19" t="s">
        <v>186</v>
      </c>
      <c r="C19" t="str">
        <f>MarketData!$E$174</f>
        <v>USD-LIBOR-3M_IR_SWAP_RATE_USD_2D_3M_6Y#0000</v>
      </c>
      <c r="E19" t="str">
        <f>_xll.qlSwapRateHelper2("LIBOR3M_SWAP_6Y",C19,,"6Y","JoinHolidays(UnitedStates::Settlement,UnitedKingdom::Settlement)","Semiannual","Modified Following","30/360 (USA)",Indexes!$B$16,0,"0D",Indexes!$B$5,"LastRelevantDate",,FALSE,'USD-FedFunds'!$B$32)</f>
        <v>LIBOR3M_SWAP_6Y#0000</v>
      </c>
      <c r="F19" t="str">
        <f>_xll.ohRangeRetrieveError(E19)</f>
        <v/>
      </c>
    </row>
    <row r="20" spans="1:6" x14ac:dyDescent="0.3">
      <c r="A20" t="s">
        <v>86</v>
      </c>
      <c r="B20" t="s">
        <v>166</v>
      </c>
      <c r="C20" t="str">
        <f>MarketData!$E$175</f>
        <v>USD-LIBOR-3M_IR_SWAP_RATE_USD_2D_3M_7Y#0000</v>
      </c>
      <c r="E20" t="str">
        <f>_xll.qlSwapRateHelper2("LIBOR3M_SWAP_7Y",C20,,"7Y","JoinHolidays(UnitedStates::Settlement,UnitedKingdom::Settlement)","Semiannual","Modified Following","30/360 (USA)",Indexes!$B$16,0,"0D",Indexes!$B$5,"LastRelevantDate",,FALSE,'USD-FedFunds'!$B$32)</f>
        <v>LIBOR3M_SWAP_7Y#0000</v>
      </c>
      <c r="F20" t="str">
        <f>_xll.ohRangeRetrieveError(E20)</f>
        <v/>
      </c>
    </row>
    <row r="21" spans="1:6" x14ac:dyDescent="0.3">
      <c r="A21" t="s">
        <v>86</v>
      </c>
      <c r="B21" t="s">
        <v>187</v>
      </c>
      <c r="C21" t="str">
        <f>MarketData!$E$176</f>
        <v>USD-LIBOR-3M_IR_SWAP_RATE_USD_2D_3M_8Y#0000</v>
      </c>
      <c r="E21" t="str">
        <f>_xll.qlSwapRateHelper2("LIBOR3M_SWAP_8Y",C21,,"8Y","JoinHolidays(UnitedStates::Settlement,UnitedKingdom::Settlement)","Semiannual","Modified Following","30/360 (USA)",Indexes!$B$16,0,"0D",Indexes!$B$5,"LastRelevantDate",,FALSE,'USD-FedFunds'!$B$32)</f>
        <v>LIBOR3M_SWAP_8Y#0000</v>
      </c>
      <c r="F21" t="str">
        <f>_xll.ohRangeRetrieveError(E21)</f>
        <v/>
      </c>
    </row>
    <row r="22" spans="1:6" x14ac:dyDescent="0.3">
      <c r="A22" t="s">
        <v>86</v>
      </c>
      <c r="B22" t="s">
        <v>188</v>
      </c>
      <c r="C22" t="str">
        <f>MarketData!$E$177</f>
        <v>USD-LIBOR-3M_IR_SWAP_RATE_USD_2D_3M_9Y#0000</v>
      </c>
      <c r="E22" t="str">
        <f>_xll.qlSwapRateHelper2("LIBOR3M_SWAP_9Y",C22,,"9Y","JoinHolidays(UnitedStates::Settlement,UnitedKingdom::Settlement)","Semiannual","Modified Following","30/360 (USA)",Indexes!$B$16,0,"0D",Indexes!$B$5,"LastRelevantDate",,FALSE,'USD-FedFunds'!$B$32)</f>
        <v>LIBOR3M_SWAP_9Y#0000</v>
      </c>
      <c r="F22" t="str">
        <f>_xll.ohRangeRetrieveError(E22)</f>
        <v/>
      </c>
    </row>
    <row r="23" spans="1:6" x14ac:dyDescent="0.3">
      <c r="A23" t="s">
        <v>86</v>
      </c>
      <c r="B23" t="s">
        <v>168</v>
      </c>
      <c r="C23" t="str">
        <f>MarketData!$E$178</f>
        <v>USD-LIBOR-3M_IR_SWAP_RATE_USD_2D_3M_10Y#0000</v>
      </c>
      <c r="E23" t="str">
        <f>_xll.qlSwapRateHelper2("LIBOR3M_SWAP_10Y",C23,,"10Y","JoinHolidays(UnitedStates::Settlement,UnitedKingdom::Settlement)","Semiannual","Modified Following","30/360 (USA)",Indexes!$B$16,0,"0D",Indexes!$B$5,"LastRelevantDate",,FALSE,'USD-FedFunds'!$B$32)</f>
        <v>LIBOR3M_SWAP_10Y#0000</v>
      </c>
      <c r="F23" t="str">
        <f>_xll.ohRangeRetrieveError(E23)</f>
        <v/>
      </c>
    </row>
    <row r="24" spans="1:6" x14ac:dyDescent="0.3">
      <c r="A24" t="s">
        <v>86</v>
      </c>
      <c r="B24" t="s">
        <v>189</v>
      </c>
      <c r="C24" t="str">
        <f>MarketData!$E$179</f>
        <v>USD-LIBOR-3M_IR_SWAP_RATE_USD_2D_3M_12Y#0000</v>
      </c>
      <c r="E24" t="str">
        <f>_xll.qlSwapRateHelper2("LIBOR3M_SWAP_12Y",C24,,"12Y","JoinHolidays(UnitedStates::Settlement,UnitedKingdom::Settlement)","Semiannual","Modified Following","30/360 (USA)",Indexes!$B$16,0,"0D",Indexes!$B$5,"LastRelevantDate",,FALSE,'USD-FedFunds'!$B$32)</f>
        <v>LIBOR3M_SWAP_12Y#0000</v>
      </c>
      <c r="F24" t="str">
        <f>_xll.ohRangeRetrieveError(E24)</f>
        <v/>
      </c>
    </row>
    <row r="25" spans="1:6" x14ac:dyDescent="0.3">
      <c r="A25" t="s">
        <v>86</v>
      </c>
      <c r="B25" t="s">
        <v>170</v>
      </c>
      <c r="C25" t="str">
        <f>MarketData!$E$180</f>
        <v>USD-LIBOR-3M_IR_SWAP_RATE_USD_2D_3M_15Y#0000</v>
      </c>
      <c r="E25" t="str">
        <f>_xll.qlSwapRateHelper2("LIBOR3M_SWAP_15Y",C25,,"15Y","JoinHolidays(UnitedStates::Settlement,UnitedKingdom::Settlement)","Semiannual","Modified Following","30/360 (USA)",Indexes!$B$16,0,"0D",Indexes!$B$5,"LastRelevantDate",,FALSE,'USD-FedFunds'!$B$32)</f>
        <v>LIBOR3M_SWAP_15Y#0000</v>
      </c>
      <c r="F25" t="str">
        <f>_xll.ohRangeRetrieveError(E25)</f>
        <v/>
      </c>
    </row>
    <row r="26" spans="1:6" x14ac:dyDescent="0.3">
      <c r="A26" t="s">
        <v>86</v>
      </c>
      <c r="B26" t="s">
        <v>172</v>
      </c>
      <c r="C26" t="str">
        <f>MarketData!$E$181</f>
        <v>USD-LIBOR-3M_IR_SWAP_RATE_USD_2D_3M_20Y#0000</v>
      </c>
      <c r="E26" t="str">
        <f>_xll.qlSwapRateHelper2("LIBOR3M_SWAP_20Y",C26,,"20Y","JoinHolidays(UnitedStates::Settlement,UnitedKingdom::Settlement)","Semiannual","Modified Following","30/360 (USA)",Indexes!$B$16,0,"0D",Indexes!$B$5,"LastRelevantDate",,FALSE,'USD-FedFunds'!$B$32)</f>
        <v>LIBOR3M_SWAP_20Y#0000</v>
      </c>
      <c r="F26" t="str">
        <f>_xll.ohRangeRetrieveError(E26)</f>
        <v/>
      </c>
    </row>
    <row r="27" spans="1:6" x14ac:dyDescent="0.3">
      <c r="A27" t="s">
        <v>86</v>
      </c>
      <c r="B27" t="s">
        <v>190</v>
      </c>
      <c r="C27" t="str">
        <f>MarketData!$E$182</f>
        <v>USD-LIBOR-3M_IR_SWAP_RATE_USD_2D_3M_25Y#0000</v>
      </c>
      <c r="E27" t="str">
        <f>_xll.qlSwapRateHelper2("LIBOR3M_SWAP_25Y",C27,,"25Y","JoinHolidays(UnitedStates::Settlement,UnitedKingdom::Settlement)","Semiannual","Modified Following","30/360 (USA)",Indexes!$B$16,0,"0D",Indexes!$B$5,"LastRelevantDate",,FALSE,'USD-FedFunds'!$B$32)</f>
        <v>LIBOR3M_SWAP_25Y#0000</v>
      </c>
      <c r="F27" t="str">
        <f>_xll.ohRangeRetrieveError(E27)</f>
        <v/>
      </c>
    </row>
    <row r="28" spans="1:6" x14ac:dyDescent="0.3">
      <c r="A28" t="s">
        <v>86</v>
      </c>
      <c r="B28" t="s">
        <v>174</v>
      </c>
      <c r="C28" t="str">
        <f>MarketData!$E$183</f>
        <v>USD-LIBOR-3M_IR_SWAP_RATE_USD_2D_3M_30Y#0000</v>
      </c>
      <c r="E28" t="str">
        <f>_xll.qlSwapRateHelper2("LIBOR3M_SWAP_30Y",C28,,"30Y","JoinHolidays(UnitedStates::Settlement,UnitedKingdom::Settlement)","Semiannual","Modified Following","30/360 (USA)",Indexes!$B$16,0,"0D",Indexes!$B$5,"LastRelevantDate",,FALSE,'USD-FedFunds'!$B$32)</f>
        <v>LIBOR3M_SWAP_30Y#0000</v>
      </c>
      <c r="F28" t="str">
        <f>_xll.ohRangeRetrieveError(E28)</f>
        <v/>
      </c>
    </row>
    <row r="29" spans="1:6" x14ac:dyDescent="0.3">
      <c r="A29" t="s">
        <v>86</v>
      </c>
      <c r="B29" t="s">
        <v>191</v>
      </c>
      <c r="C29" t="str">
        <f>MarketData!$E$184</f>
        <v>USD-LIBOR-3M_IR_SWAP_RATE_USD_2D_3M_40Y#0000</v>
      </c>
      <c r="E29" t="str">
        <f>_xll.qlSwapRateHelper2("LIBOR3M_SWAP_40Y",C29,,"40Y","JoinHolidays(UnitedStates::Settlement,UnitedKingdom::Settlement)","Semiannual","Modified Following","30/360 (USA)",Indexes!$B$16,0,"0D",Indexes!$B$5,"LastRelevantDate",,FALSE,'USD-FedFunds'!$B$32)</f>
        <v>LIBOR3M_SWAP_40Y#0000</v>
      </c>
      <c r="F29" t="str">
        <f>_xll.ohRangeRetrieveError(E29)</f>
        <v/>
      </c>
    </row>
    <row r="30" spans="1:6" x14ac:dyDescent="0.3">
      <c r="A30" t="s">
        <v>86</v>
      </c>
      <c r="B30" t="s">
        <v>192</v>
      </c>
      <c r="C30" t="str">
        <f>MarketData!$E$185</f>
        <v>USD-LIBOR-3M_IR_SWAP_RATE_USD_2D_3M_50Y#0000</v>
      </c>
      <c r="E30" t="str">
        <f>_xll.qlSwapRateHelper2("LIBOR3M_SWAP_50Y",C30,,"50Y","JoinHolidays(UnitedStates::Settlement,UnitedKingdom::Settlement)","Semiannual","Modified Following","30/360 (USA)",Indexes!$B$16,0,"0D",Indexes!$B$5,"LastRelevantDate",,FALSE,'USD-FedFunds'!$B$32)</f>
        <v>LIBOR3M_SWAP_50Y#0000</v>
      </c>
      <c r="F30" t="str">
        <f>_xll.ohRangeRetrieveError(E30)</f>
        <v/>
      </c>
    </row>
    <row r="32" spans="1:6" x14ac:dyDescent="0.3">
      <c r="A32" t="s">
        <v>3</v>
      </c>
      <c r="B32" t="str">
        <f>_xll.qlPiecewiseYieldCurve("C_USD-LIBOR-3M",0,"UnitedKingdom::Exchange",E5:E30,"Actual/365 (Fixed)",,,"Discount","LogLinear",FALSE,Indexes!$B$31)</f>
        <v>C_USD-LIBOR-3M#0000</v>
      </c>
      <c r="C32" t="str">
        <f>_xll.ohRangeRetrieveError(B32)</f>
        <v/>
      </c>
      <c r="D32" t="b">
        <f>_xll.qlExtrapolatorEnableExtrapolation(B32,TRUE)</f>
        <v>1</v>
      </c>
    </row>
    <row r="33" spans="1:5" x14ac:dyDescent="0.3">
      <c r="A33" t="s">
        <v>271</v>
      </c>
      <c r="B33" t="b">
        <f>_xll.qlRelinkableHandleLinkTo(Indexes!$B$7,B32,D32)</f>
        <v>1</v>
      </c>
      <c r="C33" t="str">
        <f>_xll.ohRangeRetrieveError(B33)</f>
        <v/>
      </c>
    </row>
    <row r="35" spans="1:5" x14ac:dyDescent="0.3">
      <c r="A35" s="2" t="s">
        <v>261</v>
      </c>
      <c r="B35" s="2" t="s">
        <v>262</v>
      </c>
      <c r="C35" s="2" t="s">
        <v>263</v>
      </c>
      <c r="D35" s="2" t="s">
        <v>241</v>
      </c>
      <c r="E35" s="2" t="s">
        <v>264</v>
      </c>
    </row>
    <row r="36" spans="1:5" x14ac:dyDescent="0.3">
      <c r="A36" s="1">
        <f>DATE(2020,4,2)</f>
        <v>43923</v>
      </c>
      <c r="B36" s="3">
        <v>0.99503873749185612</v>
      </c>
      <c r="C36" s="3">
        <f>_xll.qlYieldTSDiscount($B$32,A36,TRUE,$B$33)</f>
        <v>0.99503873749185612</v>
      </c>
      <c r="D36" s="4">
        <f t="shared" ref="D36:D61" si="0">C36-B36</f>
        <v>0</v>
      </c>
      <c r="E36" s="4">
        <f t="shared" ref="E36:E61" si="1">D36/B36</f>
        <v>0</v>
      </c>
    </row>
    <row r="37" spans="1:5" x14ac:dyDescent="0.3">
      <c r="A37" s="1">
        <f>DATE(2020,5,4)</f>
        <v>43955</v>
      </c>
      <c r="B37" s="3">
        <v>0.99368883702229793</v>
      </c>
      <c r="C37" s="3">
        <f>_xll.qlYieldTSDiscount($B$32,A37,TRUE,$B$33)</f>
        <v>0.99368883702229793</v>
      </c>
      <c r="D37" s="4">
        <f t="shared" si="0"/>
        <v>0</v>
      </c>
      <c r="E37" s="4">
        <f t="shared" si="1"/>
        <v>0</v>
      </c>
    </row>
    <row r="38" spans="1:5" x14ac:dyDescent="0.3">
      <c r="A38" s="1">
        <f>DATE(2020,6,2)</f>
        <v>43984</v>
      </c>
      <c r="B38" s="3">
        <v>0.99225739866329177</v>
      </c>
      <c r="C38" s="3">
        <f>_xll.qlYieldTSDiscount($B$32,A38,TRUE,$B$33)</f>
        <v>0.99225739866329177</v>
      </c>
      <c r="D38" s="4">
        <f t="shared" si="0"/>
        <v>0</v>
      </c>
      <c r="E38" s="4">
        <f t="shared" si="1"/>
        <v>0</v>
      </c>
    </row>
    <row r="39" spans="1:5" x14ac:dyDescent="0.3">
      <c r="A39" s="1">
        <f>DATE(2020,7,2)</f>
        <v>44014</v>
      </c>
      <c r="B39" s="3">
        <v>0.99073375165746647</v>
      </c>
      <c r="C39" s="3">
        <f>_xll.qlYieldTSDiscount($B$32,A39,TRUE,$B$33)</f>
        <v>0.99073375165746647</v>
      </c>
      <c r="D39" s="4">
        <f t="shared" si="0"/>
        <v>0</v>
      </c>
      <c r="E39" s="4">
        <f t="shared" si="1"/>
        <v>0</v>
      </c>
    </row>
    <row r="40" spans="1:5" x14ac:dyDescent="0.3">
      <c r="A40" s="1">
        <f>DATE(2020,8,4)</f>
        <v>44047</v>
      </c>
      <c r="B40" s="3">
        <v>0.98941566071872711</v>
      </c>
      <c r="C40" s="3">
        <f>_xll.qlYieldTSDiscount($B$32,A40,TRUE,$B$33)</f>
        <v>0.98941566071872711</v>
      </c>
      <c r="D40" s="4">
        <f t="shared" si="0"/>
        <v>0</v>
      </c>
      <c r="E40" s="4">
        <f t="shared" si="1"/>
        <v>0</v>
      </c>
    </row>
    <row r="41" spans="1:5" x14ac:dyDescent="0.3">
      <c r="A41" s="1">
        <f>DATE(2020,9,2)</f>
        <v>44076</v>
      </c>
      <c r="B41" s="3">
        <v>0.98801803284373257</v>
      </c>
      <c r="C41" s="3">
        <f>_xll.qlYieldTSDiscount($B$32,A41,TRUE,$B$33)</f>
        <v>0.98801803284373257</v>
      </c>
      <c r="D41" s="4">
        <f t="shared" si="0"/>
        <v>0</v>
      </c>
      <c r="E41" s="4">
        <f t="shared" si="1"/>
        <v>0</v>
      </c>
    </row>
    <row r="42" spans="1:5" x14ac:dyDescent="0.3">
      <c r="A42" s="1">
        <f>DATE(2020,10,2)</f>
        <v>44106</v>
      </c>
      <c r="B42" s="3">
        <v>0.9865259990435461</v>
      </c>
      <c r="C42" s="3">
        <f>_xll.qlYieldTSDiscount($B$32,A42,TRUE,$B$33)</f>
        <v>0.9865259990435461</v>
      </c>
      <c r="D42" s="4">
        <f t="shared" si="0"/>
        <v>0</v>
      </c>
      <c r="E42" s="4">
        <f t="shared" si="1"/>
        <v>0</v>
      </c>
    </row>
    <row r="43" spans="1:5" x14ac:dyDescent="0.3">
      <c r="A43" s="1">
        <f>DATE(2020,11,3)</f>
        <v>44138</v>
      </c>
      <c r="B43" s="3">
        <v>0.98533599677113526</v>
      </c>
      <c r="C43" s="3">
        <f>_xll.qlYieldTSDiscount($B$32,A43,TRUE,$B$33)</f>
        <v>0.98533599677113526</v>
      </c>
      <c r="D43" s="4">
        <f t="shared" si="0"/>
        <v>0</v>
      </c>
      <c r="E43" s="4">
        <f t="shared" si="1"/>
        <v>0</v>
      </c>
    </row>
    <row r="44" spans="1:5" x14ac:dyDescent="0.3">
      <c r="A44" s="1">
        <f>DATE(2020,12,2)</f>
        <v>44167</v>
      </c>
      <c r="B44" s="3">
        <v>0.98396630558877562</v>
      </c>
      <c r="C44" s="3">
        <f>_xll.qlYieldTSDiscount($B$32,A44,TRUE,$B$33)</f>
        <v>0.98396630558877562</v>
      </c>
      <c r="D44" s="4">
        <f t="shared" si="0"/>
        <v>0</v>
      </c>
      <c r="E44" s="4">
        <f t="shared" si="1"/>
        <v>0</v>
      </c>
    </row>
    <row r="45" spans="1:5" x14ac:dyDescent="0.3">
      <c r="A45" s="1">
        <f>DATE(2021,1,4)</f>
        <v>44200</v>
      </c>
      <c r="B45" s="3">
        <v>0.98240633266564237</v>
      </c>
      <c r="C45" s="3">
        <f>_xll.qlYieldTSDiscount($B$32,A45,TRUE,$B$33)</f>
        <v>0.98240633266564237</v>
      </c>
      <c r="D45" s="4">
        <f t="shared" si="0"/>
        <v>0</v>
      </c>
      <c r="E45" s="4">
        <f t="shared" si="1"/>
        <v>0</v>
      </c>
    </row>
    <row r="46" spans="1:5" x14ac:dyDescent="0.3">
      <c r="A46" s="1">
        <f>DATE(2022,1,4)</f>
        <v>44565</v>
      </c>
      <c r="B46" s="3">
        <v>0.96695266539036573</v>
      </c>
      <c r="C46" s="3">
        <f>_xll.qlYieldTSDiscount($B$32,A46,TRUE,$B$33)</f>
        <v>0.96695266539036573</v>
      </c>
      <c r="D46" s="4">
        <f t="shared" si="0"/>
        <v>0</v>
      </c>
      <c r="E46" s="4">
        <f t="shared" si="1"/>
        <v>0</v>
      </c>
    </row>
    <row r="47" spans="1:5" x14ac:dyDescent="0.3">
      <c r="A47" s="1">
        <f>DATE(2023,1,3)</f>
        <v>44929</v>
      </c>
      <c r="B47" s="3">
        <v>0.95143341843372542</v>
      </c>
      <c r="C47" s="3">
        <f>_xll.qlYieldTSDiscount($B$32,A47,TRUE,$B$33)</f>
        <v>0.95143341843372542</v>
      </c>
      <c r="D47" s="4">
        <f t="shared" si="0"/>
        <v>0</v>
      </c>
      <c r="E47" s="4">
        <f t="shared" si="1"/>
        <v>0</v>
      </c>
    </row>
    <row r="48" spans="1:5" x14ac:dyDescent="0.3">
      <c r="A48" s="1">
        <f>DATE(2024,1,2)</f>
        <v>45293</v>
      </c>
      <c r="B48" s="3">
        <v>0.93539991617718199</v>
      </c>
      <c r="C48" s="3">
        <f>_xll.qlYieldTSDiscount($B$32,A48,TRUE,$B$33)</f>
        <v>0.93539991617718199</v>
      </c>
      <c r="D48" s="4">
        <f t="shared" si="0"/>
        <v>0</v>
      </c>
      <c r="E48" s="4">
        <f t="shared" si="1"/>
        <v>0</v>
      </c>
    </row>
    <row r="49" spans="1:5" x14ac:dyDescent="0.3">
      <c r="A49" s="1">
        <f>DATE(2025,1,2)</f>
        <v>45659</v>
      </c>
      <c r="B49" s="3">
        <v>0.91944423732147273</v>
      </c>
      <c r="C49" s="3">
        <f>_xll.qlYieldTSDiscount($B$32,A49,TRUE,$B$33)</f>
        <v>0.91944423732147273</v>
      </c>
      <c r="D49" s="4">
        <f t="shared" si="0"/>
        <v>0</v>
      </c>
      <c r="E49" s="4">
        <f t="shared" si="1"/>
        <v>0</v>
      </c>
    </row>
    <row r="50" spans="1:5" x14ac:dyDescent="0.3">
      <c r="A50" s="1">
        <f>DATE(2026,1,2)</f>
        <v>46024</v>
      </c>
      <c r="B50" s="3">
        <v>0.90254016847665053</v>
      </c>
      <c r="C50" s="3">
        <f>_xll.qlYieldTSDiscount($B$32,A50,TRUE,$B$33)</f>
        <v>0.90254016847665053</v>
      </c>
      <c r="D50" s="4">
        <f t="shared" si="0"/>
        <v>0</v>
      </c>
      <c r="E50" s="4">
        <f t="shared" si="1"/>
        <v>0</v>
      </c>
    </row>
    <row r="51" spans="1:5" x14ac:dyDescent="0.3">
      <c r="A51" s="1">
        <f>DATE(2027,1,4)</f>
        <v>46391</v>
      </c>
      <c r="B51" s="3">
        <v>0.8851310204409919</v>
      </c>
      <c r="C51" s="3">
        <f>_xll.qlYieldTSDiscount($B$32,A51,TRUE,$B$33)</f>
        <v>0.8851310204409919</v>
      </c>
      <c r="D51" s="4">
        <f t="shared" si="0"/>
        <v>0</v>
      </c>
      <c r="E51" s="4">
        <f t="shared" si="1"/>
        <v>0</v>
      </c>
    </row>
    <row r="52" spans="1:5" x14ac:dyDescent="0.3">
      <c r="A52" s="1">
        <f>DATE(2028,1,4)</f>
        <v>46756</v>
      </c>
      <c r="B52" s="3">
        <v>0.86748155211781142</v>
      </c>
      <c r="C52" s="3">
        <f>_xll.qlYieldTSDiscount($B$32,A52,TRUE,$B$33)</f>
        <v>0.86748155211781142</v>
      </c>
      <c r="D52" s="4">
        <f t="shared" si="0"/>
        <v>0</v>
      </c>
      <c r="E52" s="4">
        <f t="shared" si="1"/>
        <v>0</v>
      </c>
    </row>
    <row r="53" spans="1:5" x14ac:dyDescent="0.3">
      <c r="A53" s="1">
        <f>DATE(2029,1,2)</f>
        <v>47120</v>
      </c>
      <c r="B53" s="3">
        <v>0.85064357917688316</v>
      </c>
      <c r="C53" s="3">
        <f>_xll.qlYieldTSDiscount($B$32,A53,TRUE,$B$33)</f>
        <v>0.85064357917688316</v>
      </c>
      <c r="D53" s="4">
        <f t="shared" si="0"/>
        <v>0</v>
      </c>
      <c r="E53" s="4">
        <f t="shared" si="1"/>
        <v>0</v>
      </c>
    </row>
    <row r="54" spans="1:5" x14ac:dyDescent="0.3">
      <c r="A54" s="1">
        <f>DATE(2030,1,2)</f>
        <v>47485</v>
      </c>
      <c r="B54" s="3">
        <v>0.83188444602426259</v>
      </c>
      <c r="C54" s="3">
        <f>_xll.qlYieldTSDiscount($B$32,A54,TRUE,$B$33)</f>
        <v>0.83188444602426259</v>
      </c>
      <c r="D54" s="4">
        <f t="shared" si="0"/>
        <v>0</v>
      </c>
      <c r="E54" s="4">
        <f t="shared" si="1"/>
        <v>0</v>
      </c>
    </row>
    <row r="55" spans="1:5" x14ac:dyDescent="0.3">
      <c r="A55" s="1">
        <f>DATE(2032,1,2)</f>
        <v>48215</v>
      </c>
      <c r="B55" s="3">
        <v>0.79755143857064825</v>
      </c>
      <c r="C55" s="3">
        <f>_xll.qlYieldTSDiscount($B$32,A55,TRUE,$B$33)</f>
        <v>0.79755143857064825</v>
      </c>
      <c r="D55" s="4">
        <f t="shared" si="0"/>
        <v>0</v>
      </c>
      <c r="E55" s="4">
        <f t="shared" si="1"/>
        <v>0</v>
      </c>
    </row>
    <row r="56" spans="1:5" x14ac:dyDescent="0.3">
      <c r="A56" s="1">
        <f>DATE(2035,1,2)</f>
        <v>49311</v>
      </c>
      <c r="B56" s="3">
        <v>0.74710844174348567</v>
      </c>
      <c r="C56" s="3">
        <f>_xll.qlYieldTSDiscount($B$32,A56,TRUE,$B$33)</f>
        <v>0.74710844174348567</v>
      </c>
      <c r="D56" s="4">
        <f t="shared" si="0"/>
        <v>0</v>
      </c>
      <c r="E56" s="4">
        <f t="shared" si="1"/>
        <v>0</v>
      </c>
    </row>
    <row r="57" spans="1:5" x14ac:dyDescent="0.3">
      <c r="A57" s="1">
        <f>DATE(2040,1,3)</f>
        <v>51138</v>
      </c>
      <c r="B57" s="3">
        <v>0.66962002428047918</v>
      </c>
      <c r="C57" s="3">
        <f>_xll.qlYieldTSDiscount($B$32,A57,TRUE,$B$33)</f>
        <v>0.66962002428047929</v>
      </c>
      <c r="D57" s="4">
        <f t="shared" si="0"/>
        <v>0</v>
      </c>
      <c r="E57" s="4">
        <f t="shared" si="1"/>
        <v>0</v>
      </c>
    </row>
    <row r="58" spans="1:5" x14ac:dyDescent="0.3">
      <c r="A58" s="1">
        <f>DATE(2045,1,3)</f>
        <v>52965</v>
      </c>
      <c r="B58" s="3">
        <v>0.6028179767072207</v>
      </c>
      <c r="C58" s="3">
        <f>_xll.qlYieldTSDiscount($B$32,A58,TRUE,$B$33)</f>
        <v>0.6028179767072207</v>
      </c>
      <c r="D58" s="4">
        <f t="shared" si="0"/>
        <v>0</v>
      </c>
      <c r="E58" s="4">
        <f t="shared" si="1"/>
        <v>0</v>
      </c>
    </row>
    <row r="59" spans="1:5" x14ac:dyDescent="0.3">
      <c r="A59" s="1">
        <f>DATE(2050,1,4)</f>
        <v>54792</v>
      </c>
      <c r="B59" s="3">
        <v>0.54429053724705678</v>
      </c>
      <c r="C59" s="3">
        <f>_xll.qlYieldTSDiscount($B$32,A59,TRUE,$B$33)</f>
        <v>0.54429053724705656</v>
      </c>
      <c r="D59" s="4">
        <f t="shared" si="0"/>
        <v>0</v>
      </c>
      <c r="E59" s="4">
        <f t="shared" si="1"/>
        <v>0</v>
      </c>
    </row>
    <row r="60" spans="1:5" x14ac:dyDescent="0.3">
      <c r="A60" s="1">
        <f>DATE(2060,1,2)</f>
        <v>58442</v>
      </c>
      <c r="B60" s="3">
        <v>0.45180569610752719</v>
      </c>
      <c r="C60" s="3">
        <f>_xll.qlYieldTSDiscount($B$32,A60,TRUE,$B$33)</f>
        <v>0.45180569610752708</v>
      </c>
      <c r="D60" s="4">
        <f t="shared" si="0"/>
        <v>0</v>
      </c>
      <c r="E60" s="4">
        <f t="shared" si="1"/>
        <v>0</v>
      </c>
    </row>
    <row r="61" spans="1:5" x14ac:dyDescent="0.3">
      <c r="A61" s="1">
        <f>DATE(2070,1,2)</f>
        <v>62095</v>
      </c>
      <c r="B61" s="3">
        <v>0.37953416063864859</v>
      </c>
      <c r="C61" s="3">
        <f>_xll.qlYieldTSDiscount($B$32,A61,TRUE,$B$33)</f>
        <v>0.37953416063864842</v>
      </c>
      <c r="D61" s="4">
        <f t="shared" si="0"/>
        <v>0</v>
      </c>
      <c r="E61" s="4">
        <f t="shared" si="1"/>
        <v>0</v>
      </c>
    </row>
    <row r="63" spans="1:5" x14ac:dyDescent="0.3">
      <c r="A63" t="s">
        <v>265</v>
      </c>
      <c r="D63" s="4">
        <f>MAX(ABS(MIN(D36:D61)),ABS(MAX(D36:D61)))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6A41-FE9F-47E0-80EC-71961523D0C2}">
  <dimension ref="A1:F59"/>
  <sheetViews>
    <sheetView workbookViewId="0"/>
  </sheetViews>
  <sheetFormatPr defaultRowHeight="14.4" x14ac:dyDescent="0.3"/>
  <cols>
    <col min="1" max="1" width="30.77734375" customWidth="1"/>
    <col min="2" max="2" width="40.77734375" customWidth="1"/>
    <col min="3" max="6" width="22.77734375" customWidth="1"/>
  </cols>
  <sheetData>
    <row r="1" spans="1:6" x14ac:dyDescent="0.3">
      <c r="A1" s="2" t="s">
        <v>272</v>
      </c>
    </row>
    <row r="2" spans="1:6" x14ac:dyDescent="0.3">
      <c r="A2" t="s">
        <v>273</v>
      </c>
    </row>
    <row r="4" spans="1:6" x14ac:dyDescent="0.3">
      <c r="A4" s="2" t="s">
        <v>4</v>
      </c>
      <c r="B4" s="2" t="s">
        <v>247</v>
      </c>
      <c r="C4" s="2" t="s">
        <v>248</v>
      </c>
      <c r="D4" s="2"/>
      <c r="E4" s="2" t="s">
        <v>250</v>
      </c>
      <c r="F4" s="2" t="s">
        <v>8</v>
      </c>
    </row>
    <row r="5" spans="1:6" x14ac:dyDescent="0.3">
      <c r="A5" t="s">
        <v>10</v>
      </c>
      <c r="B5" t="s">
        <v>194</v>
      </c>
      <c r="C5" t="str">
        <f>MarketData!$E$186</f>
        <v>USD-LIBOR-6M_MM_RATE_USD_2D_6M#0000</v>
      </c>
      <c r="E5" t="str">
        <f>_xll.qlDepositRateHelper2("LIBOR6M_DEP",C5,"6M",2,"UnitedKingdom::Exchange","Modified Following",TRUE,"Actual/360",FALSE,Indexes!$B$31)</f>
        <v>LIBOR6M_DEP#0000</v>
      </c>
      <c r="F5" t="str">
        <f>_xll.ohRangeRetrieveError(E5)</f>
        <v/>
      </c>
    </row>
    <row r="6" spans="1:6" x14ac:dyDescent="0.3">
      <c r="A6" t="s">
        <v>48</v>
      </c>
      <c r="B6" t="s">
        <v>195</v>
      </c>
      <c r="C6" t="str">
        <f>MarketData!$E$187</f>
        <v>USD-LIBOR-6M_FRA_RATE_USD_1M_6M#0000</v>
      </c>
      <c r="E6" t="str">
        <f>_xll.qlFraRateHelper("LIBOR6M_FRA_1M",C6,"1M",Indexes!$B$17,"LastRelevantDate",,FALSE,Indexes!$B$31)</f>
        <v>LIBOR6M_FRA_1M#0000</v>
      </c>
      <c r="F6" t="str">
        <f>_xll.ohRangeRetrieveError(E6)</f>
        <v/>
      </c>
    </row>
    <row r="7" spans="1:6" x14ac:dyDescent="0.3">
      <c r="A7" t="s">
        <v>48</v>
      </c>
      <c r="B7" t="s">
        <v>196</v>
      </c>
      <c r="C7" t="str">
        <f>MarketData!$E$188</f>
        <v>USD-LIBOR-6M_FRA_RATE_USD_2M_6M#0000</v>
      </c>
      <c r="E7" t="str">
        <f>_xll.qlFraRateHelper("LIBOR6M_FRA_2M",C7,"2M",Indexes!$B$17,"LastRelevantDate",,FALSE,Indexes!$B$31)</f>
        <v>LIBOR6M_FRA_2M#0000</v>
      </c>
      <c r="F7" t="str">
        <f>_xll.ohRangeRetrieveError(E7)</f>
        <v/>
      </c>
    </row>
    <row r="8" spans="1:6" x14ac:dyDescent="0.3">
      <c r="A8" t="s">
        <v>48</v>
      </c>
      <c r="B8" t="s">
        <v>197</v>
      </c>
      <c r="C8" t="str">
        <f>MarketData!$E$189</f>
        <v>USD-LIBOR-6M_FRA_RATE_USD_3M_6M#0000</v>
      </c>
      <c r="E8" t="str">
        <f>_xll.qlFraRateHelper("LIBOR6M_FRA_3M",C8,"3M",Indexes!$B$17,"LastRelevantDate",,FALSE,Indexes!$B$31)</f>
        <v>LIBOR6M_FRA_3M#0000</v>
      </c>
      <c r="F8" t="str">
        <f>_xll.ohRangeRetrieveError(E8)</f>
        <v/>
      </c>
    </row>
    <row r="9" spans="1:6" x14ac:dyDescent="0.3">
      <c r="A9" t="s">
        <v>48</v>
      </c>
      <c r="B9" t="s">
        <v>198</v>
      </c>
      <c r="C9" t="str">
        <f>MarketData!$E$190</f>
        <v>USD-LIBOR-6M_FRA_RATE_USD_4M_6M#0000</v>
      </c>
      <c r="E9" t="str">
        <f>_xll.qlFraRateHelper("LIBOR6M_FRA_4M",C9,"4M",Indexes!$B$17,"LastRelevantDate",,FALSE,Indexes!$B$31)</f>
        <v>LIBOR6M_FRA_4M#0000</v>
      </c>
      <c r="F9" t="str">
        <f>_xll.ohRangeRetrieveError(E9)</f>
        <v/>
      </c>
    </row>
    <row r="10" spans="1:6" x14ac:dyDescent="0.3">
      <c r="A10" t="s">
        <v>48</v>
      </c>
      <c r="B10" t="s">
        <v>199</v>
      </c>
      <c r="C10" t="str">
        <f>MarketData!$E$191</f>
        <v>USD-LIBOR-6M_FRA_RATE_USD_5M_6M#0000</v>
      </c>
      <c r="E10" t="str">
        <f>_xll.qlFraRateHelper("LIBOR6M_FRA_5M",C10,"5M",Indexes!$B$17,"LastRelevantDate",,FALSE,Indexes!$B$31)</f>
        <v>LIBOR6M_FRA_5M#0000</v>
      </c>
      <c r="F10" t="str">
        <f>_xll.ohRangeRetrieveError(E10)</f>
        <v/>
      </c>
    </row>
    <row r="11" spans="1:6" x14ac:dyDescent="0.3">
      <c r="A11" t="s">
        <v>48</v>
      </c>
      <c r="B11" t="s">
        <v>200</v>
      </c>
      <c r="C11" t="str">
        <f>MarketData!$E$192</f>
        <v>USD-LIBOR-6M_FRA_RATE_USD_6M_6M#0000</v>
      </c>
      <c r="E11" t="str">
        <f>_xll.qlFraRateHelper("LIBOR6M_FRA_6M",C11,"6M",Indexes!$B$17,"LastRelevantDate",,FALSE,Indexes!$B$31)</f>
        <v>LIBOR6M_FRA_6M#0000</v>
      </c>
      <c r="F11" t="str">
        <f>_xll.ohRangeRetrieveError(E11)</f>
        <v/>
      </c>
    </row>
    <row r="12" spans="1:6" x14ac:dyDescent="0.3">
      <c r="A12" t="s">
        <v>48</v>
      </c>
      <c r="B12" t="s">
        <v>201</v>
      </c>
      <c r="C12" t="str">
        <f>MarketData!$E$193</f>
        <v>USD-LIBOR-6M_FRA_RATE_USD_9M_6M#0000</v>
      </c>
      <c r="E12" t="str">
        <f>_xll.qlFraRateHelper("LIBOR6M_FRA_9M",C12,"9M",Indexes!$B$17,"LastRelevantDate",,FALSE,Indexes!$B$31)</f>
        <v>LIBOR6M_FRA_9M#0000</v>
      </c>
      <c r="F12" t="str">
        <f>_xll.ohRangeRetrieveError(E12)</f>
        <v/>
      </c>
    </row>
    <row r="13" spans="1:6" x14ac:dyDescent="0.3">
      <c r="A13" t="s">
        <v>48</v>
      </c>
      <c r="B13" t="s">
        <v>202</v>
      </c>
      <c r="C13" t="str">
        <f>MarketData!$E$194</f>
        <v>USD-LIBOR-6M_FRA_RATE_USD_12M_6M#0000</v>
      </c>
      <c r="E13" t="str">
        <f>_xll.qlFraRateHelper("LIBOR6M_FRA_12M",C13,"12M",Indexes!$B$17,"LastRelevantDate",,FALSE,Indexes!$B$31)</f>
        <v>LIBOR6M_FRA_12M#0000</v>
      </c>
      <c r="F13" t="str">
        <f>_xll.ohRangeRetrieveError(E13)</f>
        <v/>
      </c>
    </row>
    <row r="14" spans="1:6" x14ac:dyDescent="0.3">
      <c r="A14" t="s">
        <v>274</v>
      </c>
      <c r="B14" t="s">
        <v>204</v>
      </c>
      <c r="C14" t="str">
        <f>MarketData!$E$195</f>
        <v>USD-LIBOR-6M_BASIS_SWAP_BASIS_SPREAD_3M_6M_USD_2Y#0000</v>
      </c>
      <c r="E14" t="str">
        <f>_xll.qlTenorBasisSwapHelper("LIBOR6M_TBS_2Y",C14,"2Y",Indexes!$B$17,Indexes!$B$16,Indexes!$B$5,TRUE,FALSE,"6M","6M",TRUE,"Compounding",FALSE,TRUE,FALSE,'USD-FedFunds'!$B$32)</f>
        <v>LIBOR6M_TBS_2Y#0000</v>
      </c>
      <c r="F14" t="str">
        <f>_xll.ohRangeRetrieveError(E14)</f>
        <v/>
      </c>
    </row>
    <row r="15" spans="1:6" x14ac:dyDescent="0.3">
      <c r="A15" t="s">
        <v>274</v>
      </c>
      <c r="B15" t="s">
        <v>205</v>
      </c>
      <c r="C15" t="str">
        <f>MarketData!$E$196</f>
        <v>USD-LIBOR-6M_BASIS_SWAP_BASIS_SPREAD_3M_6M_USD_3Y#0000</v>
      </c>
      <c r="E15" t="str">
        <f>_xll.qlTenorBasisSwapHelper("LIBOR6M_TBS_3Y",C15,"3Y",Indexes!$B$17,Indexes!$B$16,Indexes!$B$5,TRUE,FALSE,"6M","6M",TRUE,"Compounding",FALSE,TRUE,FALSE,'USD-FedFunds'!$B$32)</f>
        <v>LIBOR6M_TBS_3Y#0000</v>
      </c>
      <c r="F15" t="str">
        <f>_xll.ohRangeRetrieveError(E15)</f>
        <v/>
      </c>
    </row>
    <row r="16" spans="1:6" x14ac:dyDescent="0.3">
      <c r="A16" t="s">
        <v>274</v>
      </c>
      <c r="B16" t="s">
        <v>206</v>
      </c>
      <c r="C16" t="str">
        <f>MarketData!$E$197</f>
        <v>USD-LIBOR-6M_BASIS_SWAP_BASIS_SPREAD_3M_6M_USD_4Y#0000</v>
      </c>
      <c r="E16" t="str">
        <f>_xll.qlTenorBasisSwapHelper("LIBOR6M_TBS_4Y",C16,"4Y",Indexes!$B$17,Indexes!$B$16,Indexes!$B$5,TRUE,FALSE,"6M","6M",TRUE,"Compounding",FALSE,TRUE,FALSE,'USD-FedFunds'!$B$32)</f>
        <v>LIBOR6M_TBS_4Y#0000</v>
      </c>
      <c r="F16" t="str">
        <f>_xll.ohRangeRetrieveError(E16)</f>
        <v/>
      </c>
    </row>
    <row r="17" spans="1:6" x14ac:dyDescent="0.3">
      <c r="A17" t="s">
        <v>274</v>
      </c>
      <c r="B17" t="s">
        <v>207</v>
      </c>
      <c r="C17" t="str">
        <f>MarketData!$E$198</f>
        <v>USD-LIBOR-6M_BASIS_SWAP_BASIS_SPREAD_3M_6M_USD_5Y#0000</v>
      </c>
      <c r="E17" t="str">
        <f>_xll.qlTenorBasisSwapHelper("LIBOR6M_TBS_5Y",C17,"5Y",Indexes!$B$17,Indexes!$B$16,Indexes!$B$5,TRUE,FALSE,"6M","6M",TRUE,"Compounding",FALSE,TRUE,FALSE,'USD-FedFunds'!$B$32)</f>
        <v>LIBOR6M_TBS_5Y#0000</v>
      </c>
      <c r="F17" t="str">
        <f>_xll.ohRangeRetrieveError(E17)</f>
        <v/>
      </c>
    </row>
    <row r="18" spans="1:6" x14ac:dyDescent="0.3">
      <c r="A18" t="s">
        <v>274</v>
      </c>
      <c r="B18" t="s">
        <v>208</v>
      </c>
      <c r="C18" t="str">
        <f>MarketData!$E$199</f>
        <v>USD-LIBOR-6M_BASIS_SWAP_BASIS_SPREAD_3M_6M_USD_6Y#0000</v>
      </c>
      <c r="E18" t="str">
        <f>_xll.qlTenorBasisSwapHelper("LIBOR6M_TBS_6Y",C18,"6Y",Indexes!$B$17,Indexes!$B$16,Indexes!$B$5,TRUE,FALSE,"6M","6M",TRUE,"Compounding",FALSE,TRUE,FALSE,'USD-FedFunds'!$B$32)</f>
        <v>LIBOR6M_TBS_6Y#0000</v>
      </c>
      <c r="F18" t="str">
        <f>_xll.ohRangeRetrieveError(E18)</f>
        <v/>
      </c>
    </row>
    <row r="19" spans="1:6" x14ac:dyDescent="0.3">
      <c r="A19" t="s">
        <v>274</v>
      </c>
      <c r="B19" t="s">
        <v>209</v>
      </c>
      <c r="C19" t="str">
        <f>MarketData!$E$200</f>
        <v>USD-LIBOR-6M_BASIS_SWAP_BASIS_SPREAD_3M_6M_USD_7Y#0000</v>
      </c>
      <c r="E19" t="str">
        <f>_xll.qlTenorBasisSwapHelper("LIBOR6M_TBS_7Y",C19,"7Y",Indexes!$B$17,Indexes!$B$16,Indexes!$B$5,TRUE,FALSE,"6M","6M",TRUE,"Compounding",FALSE,TRUE,FALSE,'USD-FedFunds'!$B$32)</f>
        <v>LIBOR6M_TBS_7Y#0000</v>
      </c>
      <c r="F19" t="str">
        <f>_xll.ohRangeRetrieveError(E19)</f>
        <v/>
      </c>
    </row>
    <row r="20" spans="1:6" x14ac:dyDescent="0.3">
      <c r="A20" t="s">
        <v>274</v>
      </c>
      <c r="B20" t="s">
        <v>210</v>
      </c>
      <c r="C20" t="str">
        <f>MarketData!$E$201</f>
        <v>USD-LIBOR-6M_BASIS_SWAP_BASIS_SPREAD_3M_6M_USD_8Y#0000</v>
      </c>
      <c r="E20" t="str">
        <f>_xll.qlTenorBasisSwapHelper("LIBOR6M_TBS_8Y",C20,"8Y",Indexes!$B$17,Indexes!$B$16,Indexes!$B$5,TRUE,FALSE,"6M","6M",TRUE,"Compounding",FALSE,TRUE,FALSE,'USD-FedFunds'!$B$32)</f>
        <v>LIBOR6M_TBS_8Y#0000</v>
      </c>
      <c r="F20" t="str">
        <f>_xll.ohRangeRetrieveError(E20)</f>
        <v/>
      </c>
    </row>
    <row r="21" spans="1:6" x14ac:dyDescent="0.3">
      <c r="A21" t="s">
        <v>274</v>
      </c>
      <c r="B21" t="s">
        <v>211</v>
      </c>
      <c r="C21" t="str">
        <f>MarketData!$E$202</f>
        <v>USD-LIBOR-6M_BASIS_SWAP_BASIS_SPREAD_3M_6M_USD_9Y#0000</v>
      </c>
      <c r="E21" t="str">
        <f>_xll.qlTenorBasisSwapHelper("LIBOR6M_TBS_9Y",C21,"9Y",Indexes!$B$17,Indexes!$B$16,Indexes!$B$5,TRUE,FALSE,"6M","6M",TRUE,"Compounding",FALSE,TRUE,FALSE,'USD-FedFunds'!$B$32)</f>
        <v>LIBOR6M_TBS_9Y#0000</v>
      </c>
      <c r="F21" t="str">
        <f>_xll.ohRangeRetrieveError(E21)</f>
        <v/>
      </c>
    </row>
    <row r="22" spans="1:6" x14ac:dyDescent="0.3">
      <c r="A22" t="s">
        <v>274</v>
      </c>
      <c r="B22" t="s">
        <v>212</v>
      </c>
      <c r="C22" t="str">
        <f>MarketData!$E$203</f>
        <v>USD-LIBOR-6M_BASIS_SWAP_BASIS_SPREAD_3M_6M_USD_10Y#0000</v>
      </c>
      <c r="E22" t="str">
        <f>_xll.qlTenorBasisSwapHelper("LIBOR6M_TBS_10Y",C22,"10Y",Indexes!$B$17,Indexes!$B$16,Indexes!$B$5,TRUE,FALSE,"6M","6M",TRUE,"Compounding",FALSE,TRUE,FALSE,'USD-FedFunds'!$B$32)</f>
        <v>LIBOR6M_TBS_10Y#0000</v>
      </c>
      <c r="F22" t="str">
        <f>_xll.ohRangeRetrieveError(E22)</f>
        <v/>
      </c>
    </row>
    <row r="23" spans="1:6" x14ac:dyDescent="0.3">
      <c r="A23" t="s">
        <v>274</v>
      </c>
      <c r="B23" t="s">
        <v>213</v>
      </c>
      <c r="C23" t="str">
        <f>MarketData!$E$204</f>
        <v>USD-LIBOR-6M_BASIS_SWAP_BASIS_SPREAD_3M_6M_USD_11Y#0000</v>
      </c>
      <c r="E23" t="str">
        <f>_xll.qlTenorBasisSwapHelper("LIBOR6M_TBS_11Y",C23,"11Y",Indexes!$B$17,Indexes!$B$16,Indexes!$B$5,TRUE,FALSE,"6M","6M",TRUE,"Compounding",FALSE,TRUE,FALSE,'USD-FedFunds'!$B$32)</f>
        <v>LIBOR6M_TBS_11Y#0000</v>
      </c>
      <c r="F23" t="str">
        <f>_xll.ohRangeRetrieveError(E23)</f>
        <v/>
      </c>
    </row>
    <row r="24" spans="1:6" x14ac:dyDescent="0.3">
      <c r="A24" t="s">
        <v>274</v>
      </c>
      <c r="B24" t="s">
        <v>214</v>
      </c>
      <c r="C24" t="str">
        <f>MarketData!$E$205</f>
        <v>USD-LIBOR-6M_BASIS_SWAP_BASIS_SPREAD_3M_6M_USD_12Y#0000</v>
      </c>
      <c r="E24" t="str">
        <f>_xll.qlTenorBasisSwapHelper("LIBOR6M_TBS_12Y",C24,"12Y",Indexes!$B$17,Indexes!$B$16,Indexes!$B$5,TRUE,FALSE,"6M","6M",TRUE,"Compounding",FALSE,TRUE,FALSE,'USD-FedFunds'!$B$32)</f>
        <v>LIBOR6M_TBS_12Y#0000</v>
      </c>
      <c r="F24" t="str">
        <f>_xll.ohRangeRetrieveError(E24)</f>
        <v/>
      </c>
    </row>
    <row r="25" spans="1:6" x14ac:dyDescent="0.3">
      <c r="A25" t="s">
        <v>274</v>
      </c>
      <c r="B25" t="s">
        <v>215</v>
      </c>
      <c r="C25" t="str">
        <f>MarketData!$E$206</f>
        <v>USD-LIBOR-6M_BASIS_SWAP_BASIS_SPREAD_3M_6M_USD_15Y#0000</v>
      </c>
      <c r="E25" t="str">
        <f>_xll.qlTenorBasisSwapHelper("LIBOR6M_TBS_15Y",C25,"15Y",Indexes!$B$17,Indexes!$B$16,Indexes!$B$5,TRUE,FALSE,"6M","6M",TRUE,"Compounding",FALSE,TRUE,FALSE,'USD-FedFunds'!$B$32)</f>
        <v>LIBOR6M_TBS_15Y#0000</v>
      </c>
      <c r="F25" t="str">
        <f>_xll.ohRangeRetrieveError(E25)</f>
        <v/>
      </c>
    </row>
    <row r="26" spans="1:6" x14ac:dyDescent="0.3">
      <c r="A26" t="s">
        <v>274</v>
      </c>
      <c r="B26" t="s">
        <v>216</v>
      </c>
      <c r="C26" t="str">
        <f>MarketData!$E$207</f>
        <v>USD-LIBOR-6M_BASIS_SWAP_BASIS_SPREAD_3M_6M_USD_20Y#0000</v>
      </c>
      <c r="E26" t="str">
        <f>_xll.qlTenorBasisSwapHelper("LIBOR6M_TBS_20Y",C26,"20Y",Indexes!$B$17,Indexes!$B$16,Indexes!$B$5,TRUE,FALSE,"6M","6M",TRUE,"Compounding",FALSE,TRUE,FALSE,'USD-FedFunds'!$B$32)</f>
        <v>LIBOR6M_TBS_20Y#0000</v>
      </c>
      <c r="F26" t="str">
        <f>_xll.ohRangeRetrieveError(E26)</f>
        <v/>
      </c>
    </row>
    <row r="27" spans="1:6" x14ac:dyDescent="0.3">
      <c r="A27" t="s">
        <v>274</v>
      </c>
      <c r="B27" t="s">
        <v>217</v>
      </c>
      <c r="C27" t="str">
        <f>MarketData!$E$208</f>
        <v>USD-LIBOR-6M_BASIS_SWAP_BASIS_SPREAD_3M_6M_USD_25Y#0000</v>
      </c>
      <c r="E27" t="str">
        <f>_xll.qlTenorBasisSwapHelper("LIBOR6M_TBS_25Y",C27,"25Y",Indexes!$B$17,Indexes!$B$16,Indexes!$B$5,TRUE,FALSE,"6M","6M",TRUE,"Compounding",FALSE,TRUE,FALSE,'USD-FedFunds'!$B$32)</f>
        <v>LIBOR6M_TBS_25Y#0000</v>
      </c>
      <c r="F27" t="str">
        <f>_xll.ohRangeRetrieveError(E27)</f>
        <v/>
      </c>
    </row>
    <row r="28" spans="1:6" x14ac:dyDescent="0.3">
      <c r="A28" t="s">
        <v>274</v>
      </c>
      <c r="B28" t="s">
        <v>218</v>
      </c>
      <c r="C28" t="str">
        <f>MarketData!$E$209</f>
        <v>USD-LIBOR-6M_BASIS_SWAP_BASIS_SPREAD_3M_6M_USD_30Y#0000</v>
      </c>
      <c r="E28" t="str">
        <f>_xll.qlTenorBasisSwapHelper("LIBOR6M_TBS_30Y",C28,"30Y",Indexes!$B$17,Indexes!$B$16,Indexes!$B$5,TRUE,FALSE,"6M","6M",TRUE,"Compounding",FALSE,TRUE,FALSE,'USD-FedFunds'!$B$32)</f>
        <v>LIBOR6M_TBS_30Y#0000</v>
      </c>
      <c r="F28" t="str">
        <f>_xll.ohRangeRetrieveError(E28)</f>
        <v/>
      </c>
    </row>
    <row r="30" spans="1:6" x14ac:dyDescent="0.3">
      <c r="A30" t="s">
        <v>3</v>
      </c>
      <c r="B30" t="str">
        <f>_xll.qlPiecewiseYieldCurve("C_USD-LIBOR-6M",0,"UnitedKingdom::Exchange",E5:E28,"Actual/365 (Fixed)",,,"Discount","LogLinear",FALSE,Indexes!$B$31)</f>
        <v>C_USD-LIBOR-6M#0000</v>
      </c>
      <c r="C30" t="str">
        <f>_xll.ohRangeRetrieveError(B30)</f>
        <v/>
      </c>
      <c r="D30" t="b">
        <f>_xll.qlExtrapolatorEnableExtrapolation(B30,TRUE)</f>
        <v>1</v>
      </c>
    </row>
    <row r="31" spans="1:6" x14ac:dyDescent="0.3">
      <c r="A31" t="s">
        <v>275</v>
      </c>
      <c r="B31" t="b">
        <f>_xll.qlRelinkableHandleLinkTo(Indexes!$B$8,B30,D30)</f>
        <v>1</v>
      </c>
      <c r="C31" t="str">
        <f>_xll.ohRangeRetrieveError(B31)</f>
        <v/>
      </c>
    </row>
    <row r="33" spans="1:5" x14ac:dyDescent="0.3">
      <c r="A33" s="2" t="s">
        <v>261</v>
      </c>
      <c r="B33" s="2" t="s">
        <v>262</v>
      </c>
      <c r="C33" s="2" t="s">
        <v>263</v>
      </c>
      <c r="D33" s="2" t="s">
        <v>241</v>
      </c>
      <c r="E33" s="2" t="s">
        <v>264</v>
      </c>
    </row>
    <row r="34" spans="1:5" x14ac:dyDescent="0.3">
      <c r="A34" s="1">
        <f>DATE(2020,7,2)</f>
        <v>44014</v>
      </c>
      <c r="B34" s="3">
        <v>0.99028566225575243</v>
      </c>
      <c r="C34" s="3">
        <f>_xll.qlYieldTSDiscount($B$30,A34,TRUE,$B$31)</f>
        <v>0.99028566225575243</v>
      </c>
      <c r="D34" s="4">
        <f t="shared" ref="D34:D57" si="0">C34-B34</f>
        <v>0</v>
      </c>
      <c r="E34" s="4">
        <f t="shared" ref="E34:E57" si="1">D34/B34</f>
        <v>0</v>
      </c>
    </row>
    <row r="35" spans="1:5" x14ac:dyDescent="0.3">
      <c r="A35" s="1">
        <f>DATE(2020,8,3)</f>
        <v>44046</v>
      </c>
      <c r="B35" s="3">
        <v>0.98911888601104403</v>
      </c>
      <c r="C35" s="3">
        <f>_xll.qlYieldTSDiscount($B$30,A35,TRUE,$B$31)</f>
        <v>0.98911888601104403</v>
      </c>
      <c r="D35" s="4">
        <f t="shared" si="0"/>
        <v>0</v>
      </c>
      <c r="E35" s="4">
        <f t="shared" si="1"/>
        <v>0</v>
      </c>
    </row>
    <row r="36" spans="1:5" x14ac:dyDescent="0.3">
      <c r="A36" s="1">
        <f>DATE(2020,9,2)</f>
        <v>44076</v>
      </c>
      <c r="B36" s="3">
        <v>0.98780545926637597</v>
      </c>
      <c r="C36" s="3">
        <f>_xll.qlYieldTSDiscount($B$30,A36,TRUE,$B$31)</f>
        <v>0.98780545926637597</v>
      </c>
      <c r="D36" s="4">
        <f t="shared" si="0"/>
        <v>0</v>
      </c>
      <c r="E36" s="4">
        <f t="shared" si="1"/>
        <v>0</v>
      </c>
    </row>
    <row r="37" spans="1:5" x14ac:dyDescent="0.3">
      <c r="A37" s="1">
        <f>DATE(2020,10,2)</f>
        <v>44106</v>
      </c>
      <c r="B37" s="3">
        <v>0.98631820388488689</v>
      </c>
      <c r="C37" s="3">
        <f>_xll.qlYieldTSDiscount($B$30,A37,TRUE,$B$31)</f>
        <v>0.98631820388488689</v>
      </c>
      <c r="D37" s="4">
        <f t="shared" si="0"/>
        <v>0</v>
      </c>
      <c r="E37" s="4">
        <f t="shared" si="1"/>
        <v>0</v>
      </c>
    </row>
    <row r="38" spans="1:5" x14ac:dyDescent="0.3">
      <c r="A38" s="1">
        <f>DATE(2020,11,4)</f>
        <v>44139</v>
      </c>
      <c r="B38" s="3">
        <v>0.98473166917016042</v>
      </c>
      <c r="C38" s="3">
        <f>_xll.qlYieldTSDiscount($B$30,A38,TRUE,$B$31)</f>
        <v>0.98473166917016042</v>
      </c>
      <c r="D38" s="4">
        <f t="shared" si="0"/>
        <v>0</v>
      </c>
      <c r="E38" s="4">
        <f t="shared" si="1"/>
        <v>0</v>
      </c>
    </row>
    <row r="39" spans="1:5" x14ac:dyDescent="0.3">
      <c r="A39" s="1">
        <f>DATE(2020,12,2)</f>
        <v>44167</v>
      </c>
      <c r="B39" s="3">
        <v>0.98335172874890653</v>
      </c>
      <c r="C39" s="3">
        <f>_xll.qlYieldTSDiscount($B$30,A39,TRUE,$B$31)</f>
        <v>0.98335172874890653</v>
      </c>
      <c r="D39" s="4">
        <f t="shared" si="0"/>
        <v>0</v>
      </c>
      <c r="E39" s="4">
        <f t="shared" si="1"/>
        <v>0</v>
      </c>
    </row>
    <row r="40" spans="1:5" x14ac:dyDescent="0.3">
      <c r="A40" s="1">
        <f>DATE(2021,1,4)</f>
        <v>44200</v>
      </c>
      <c r="B40" s="3">
        <v>0.98172372243118922</v>
      </c>
      <c r="C40" s="3">
        <f>_xll.qlYieldTSDiscount($B$30,A40,TRUE,$B$31)</f>
        <v>0.98172372243118922</v>
      </c>
      <c r="D40" s="4">
        <f t="shared" si="0"/>
        <v>0</v>
      </c>
      <c r="E40" s="4">
        <f t="shared" si="1"/>
        <v>0</v>
      </c>
    </row>
    <row r="41" spans="1:5" x14ac:dyDescent="0.3">
      <c r="A41" s="1">
        <f>DATE(2021,4,6)</f>
        <v>44292</v>
      </c>
      <c r="B41" s="3">
        <v>0.97798091657109121</v>
      </c>
      <c r="C41" s="3">
        <f>_xll.qlYieldTSDiscount($B$30,A41,TRUE,$B$31)</f>
        <v>0.97798091657109121</v>
      </c>
      <c r="D41" s="4">
        <f t="shared" si="0"/>
        <v>0</v>
      </c>
      <c r="E41" s="4">
        <f t="shared" si="1"/>
        <v>0</v>
      </c>
    </row>
    <row r="42" spans="1:5" x14ac:dyDescent="0.3">
      <c r="A42" s="1">
        <f>DATE(2021,7,5)</f>
        <v>44382</v>
      </c>
      <c r="B42" s="3">
        <v>0.97374383758529792</v>
      </c>
      <c r="C42" s="3">
        <f>_xll.qlYieldTSDiscount($B$30,A42,TRUE,$B$31)</f>
        <v>0.97374383758529792</v>
      </c>
      <c r="D42" s="4">
        <f t="shared" si="0"/>
        <v>0</v>
      </c>
      <c r="E42" s="4">
        <f t="shared" si="1"/>
        <v>0</v>
      </c>
    </row>
    <row r="43" spans="1:5" x14ac:dyDescent="0.3">
      <c r="A43" s="1">
        <f>DATE(2022,1,4)</f>
        <v>44565</v>
      </c>
      <c r="B43" s="3">
        <v>0.96530275739350102</v>
      </c>
      <c r="C43" s="3">
        <f>_xll.qlYieldTSDiscount($B$30,A43,TRUE,$B$31)</f>
        <v>0.96530275739350102</v>
      </c>
      <c r="D43" s="4">
        <f t="shared" si="0"/>
        <v>0</v>
      </c>
      <c r="E43" s="4">
        <f t="shared" si="1"/>
        <v>0</v>
      </c>
    </row>
    <row r="44" spans="1:5" x14ac:dyDescent="0.3">
      <c r="A44" s="1">
        <f>DATE(2023,1,3)</f>
        <v>44929</v>
      </c>
      <c r="B44" s="3">
        <v>0.94972183945552069</v>
      </c>
      <c r="C44" s="3">
        <f>_xll.qlYieldTSDiscount($B$30,A44,TRUE,$B$31)</f>
        <v>0.94972183945552069</v>
      </c>
      <c r="D44" s="4">
        <f t="shared" si="0"/>
        <v>0</v>
      </c>
      <c r="E44" s="4">
        <f t="shared" si="1"/>
        <v>0</v>
      </c>
    </row>
    <row r="45" spans="1:5" x14ac:dyDescent="0.3">
      <c r="A45" s="1">
        <f>DATE(2024,1,2)</f>
        <v>45293</v>
      </c>
      <c r="B45" s="3">
        <v>0.93314267384815353</v>
      </c>
      <c r="C45" s="3">
        <f>_xll.qlYieldTSDiscount($B$30,A45,TRUE,$B$31)</f>
        <v>0.93314267384815353</v>
      </c>
      <c r="D45" s="4">
        <f t="shared" si="0"/>
        <v>0</v>
      </c>
      <c r="E45" s="4">
        <f t="shared" si="1"/>
        <v>0</v>
      </c>
    </row>
    <row r="46" spans="1:5" x14ac:dyDescent="0.3">
      <c r="A46" s="1">
        <f>DATE(2025,1,2)</f>
        <v>45659</v>
      </c>
      <c r="B46" s="3">
        <v>0.91655571694469806</v>
      </c>
      <c r="C46" s="3">
        <f>_xll.qlYieldTSDiscount($B$30,A46,TRUE,$B$31)</f>
        <v>0.91655571694469806</v>
      </c>
      <c r="D46" s="4">
        <f t="shared" si="0"/>
        <v>0</v>
      </c>
      <c r="E46" s="4">
        <f t="shared" si="1"/>
        <v>0</v>
      </c>
    </row>
    <row r="47" spans="1:5" x14ac:dyDescent="0.3">
      <c r="A47" s="1">
        <f>DATE(2026,1,2)</f>
        <v>46024</v>
      </c>
      <c r="B47" s="3">
        <v>0.89893410831704057</v>
      </c>
      <c r="C47" s="3">
        <f>_xll.qlYieldTSDiscount($B$30,A47,TRUE,$B$31)</f>
        <v>0.89893410831704057</v>
      </c>
      <c r="D47" s="4">
        <f t="shared" si="0"/>
        <v>0</v>
      </c>
      <c r="E47" s="4">
        <f t="shared" si="1"/>
        <v>0</v>
      </c>
    </row>
    <row r="48" spans="1:5" x14ac:dyDescent="0.3">
      <c r="A48" s="1">
        <f>DATE(2027,1,4)</f>
        <v>46391</v>
      </c>
      <c r="B48" s="3">
        <v>0.88070928530170633</v>
      </c>
      <c r="C48" s="3">
        <f>_xll.qlYieldTSDiscount($B$30,A48,TRUE,$B$31)</f>
        <v>0.88070928530170633</v>
      </c>
      <c r="D48" s="4">
        <f t="shared" si="0"/>
        <v>0</v>
      </c>
      <c r="E48" s="4">
        <f t="shared" si="1"/>
        <v>0</v>
      </c>
    </row>
    <row r="49" spans="1:5" x14ac:dyDescent="0.3">
      <c r="A49" s="1">
        <f>DATE(2028,1,4)</f>
        <v>46756</v>
      </c>
      <c r="B49" s="3">
        <v>0.86236820311466311</v>
      </c>
      <c r="C49" s="3">
        <f>_xll.qlYieldTSDiscount($B$30,A49,TRUE,$B$31)</f>
        <v>0.86236820311466311</v>
      </c>
      <c r="D49" s="4">
        <f t="shared" si="0"/>
        <v>0</v>
      </c>
      <c r="E49" s="4">
        <f t="shared" si="1"/>
        <v>0</v>
      </c>
    </row>
    <row r="50" spans="1:5" x14ac:dyDescent="0.3">
      <c r="A50" s="1">
        <f>DATE(2029,1,2)</f>
        <v>47120</v>
      </c>
      <c r="B50" s="3">
        <v>0.84493937161535804</v>
      </c>
      <c r="C50" s="3">
        <f>_xll.qlYieldTSDiscount($B$30,A50,TRUE,$B$31)</f>
        <v>0.84493937161535804</v>
      </c>
      <c r="D50" s="4">
        <f t="shared" si="0"/>
        <v>0</v>
      </c>
      <c r="E50" s="4">
        <f t="shared" si="1"/>
        <v>0</v>
      </c>
    </row>
    <row r="51" spans="1:5" x14ac:dyDescent="0.3">
      <c r="A51" s="1">
        <f>DATE(2030,1,2)</f>
        <v>47485</v>
      </c>
      <c r="B51" s="3">
        <v>0.82545812056112522</v>
      </c>
      <c r="C51" s="3">
        <f>_xll.qlYieldTSDiscount($B$30,A51,TRUE,$B$31)</f>
        <v>0.825458120561125</v>
      </c>
      <c r="D51" s="4">
        <f t="shared" si="0"/>
        <v>0</v>
      </c>
      <c r="E51" s="4">
        <f t="shared" si="1"/>
        <v>0</v>
      </c>
    </row>
    <row r="52" spans="1:5" x14ac:dyDescent="0.3">
      <c r="A52" s="1">
        <f>DATE(2031,1,2)</f>
        <v>47850</v>
      </c>
      <c r="B52" s="3">
        <v>0.80739585852574403</v>
      </c>
      <c r="C52" s="3">
        <f>_xll.qlYieldTSDiscount($B$30,A52,TRUE,$B$31)</f>
        <v>0.8073958585257438</v>
      </c>
      <c r="D52" s="4">
        <f t="shared" si="0"/>
        <v>0</v>
      </c>
      <c r="E52" s="4">
        <f t="shared" si="1"/>
        <v>0</v>
      </c>
    </row>
    <row r="53" spans="1:5" x14ac:dyDescent="0.3">
      <c r="A53" s="1">
        <f>DATE(2032,1,2)</f>
        <v>48215</v>
      </c>
      <c r="B53" s="3">
        <v>0.78975114060354823</v>
      </c>
      <c r="C53" s="3">
        <f>_xll.qlYieldTSDiscount($B$30,A53,TRUE,$B$31)</f>
        <v>0.78975114060354801</v>
      </c>
      <c r="D53" s="4">
        <f t="shared" si="0"/>
        <v>0</v>
      </c>
      <c r="E53" s="4">
        <f t="shared" si="1"/>
        <v>0</v>
      </c>
    </row>
    <row r="54" spans="1:5" x14ac:dyDescent="0.3">
      <c r="A54" s="1">
        <f>DATE(2035,1,2)</f>
        <v>49311</v>
      </c>
      <c r="B54" s="3">
        <v>0.73774037442212248</v>
      </c>
      <c r="C54" s="3">
        <f>_xll.qlYieldTSDiscount($B$30,A54,TRUE,$B$31)</f>
        <v>0.73774037442212204</v>
      </c>
      <c r="D54" s="4">
        <f t="shared" si="0"/>
        <v>0</v>
      </c>
      <c r="E54" s="4">
        <f t="shared" si="1"/>
        <v>0</v>
      </c>
    </row>
    <row r="55" spans="1:5" x14ac:dyDescent="0.3">
      <c r="A55" s="1">
        <f>DATE(2040,1,3)</f>
        <v>51138</v>
      </c>
      <c r="B55" s="3">
        <v>0.658308822540984</v>
      </c>
      <c r="C55" s="3">
        <f>_xll.qlYieldTSDiscount($B$30,A55,TRUE,$B$31)</f>
        <v>0.65830882254098366</v>
      </c>
      <c r="D55" s="4">
        <f t="shared" si="0"/>
        <v>0</v>
      </c>
      <c r="E55" s="4">
        <f t="shared" si="1"/>
        <v>0</v>
      </c>
    </row>
    <row r="56" spans="1:5" x14ac:dyDescent="0.3">
      <c r="A56" s="1">
        <f>DATE(2045,1,3)</f>
        <v>52965</v>
      </c>
      <c r="B56" s="3">
        <v>0.58962482061094612</v>
      </c>
      <c r="C56" s="3">
        <f>_xll.qlYieldTSDiscount($B$30,A56,TRUE,$B$31)</f>
        <v>0.58962482061094601</v>
      </c>
      <c r="D56" s="4">
        <f t="shared" si="0"/>
        <v>0</v>
      </c>
      <c r="E56" s="4">
        <f t="shared" si="1"/>
        <v>0</v>
      </c>
    </row>
    <row r="57" spans="1:5" x14ac:dyDescent="0.3">
      <c r="A57" s="1">
        <f>DATE(2050,1,4)</f>
        <v>54792</v>
      </c>
      <c r="B57" s="3">
        <v>0.52989253945145676</v>
      </c>
      <c r="C57" s="3">
        <f>_xll.qlYieldTSDiscount($B$30,A57,TRUE,$B$31)</f>
        <v>0.52989253945145587</v>
      </c>
      <c r="D57" s="4">
        <f t="shared" si="0"/>
        <v>-8.8817841970012523E-16</v>
      </c>
      <c r="E57" s="4">
        <f t="shared" si="1"/>
        <v>-1.6761481877430563E-15</v>
      </c>
    </row>
    <row r="59" spans="1:5" x14ac:dyDescent="0.3">
      <c r="A59" t="s">
        <v>265</v>
      </c>
      <c r="D59" s="4">
        <f>MAX(ABS(MIN(D34:D57)),ABS(MAX(D34:D57)))</f>
        <v>8.8817841970012523E-16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C1F2-21E0-46EC-9BF7-0B9BFED8D5BE}">
  <dimension ref="A1:F61"/>
  <sheetViews>
    <sheetView workbookViewId="0"/>
  </sheetViews>
  <sheetFormatPr defaultRowHeight="14.4" x14ac:dyDescent="0.3"/>
  <cols>
    <col min="1" max="1" width="30.77734375" customWidth="1"/>
    <col min="2" max="2" width="40.77734375" customWidth="1"/>
    <col min="3" max="6" width="22.77734375" customWidth="1"/>
  </cols>
  <sheetData>
    <row r="1" spans="1:6" x14ac:dyDescent="0.3">
      <c r="A1" s="2" t="s">
        <v>276</v>
      </c>
    </row>
    <row r="2" spans="1:6" x14ac:dyDescent="0.3">
      <c r="A2" t="s">
        <v>277</v>
      </c>
    </row>
    <row r="4" spans="1:6" x14ac:dyDescent="0.3">
      <c r="A4" s="2" t="s">
        <v>4</v>
      </c>
      <c r="B4" s="2" t="s">
        <v>247</v>
      </c>
      <c r="C4" s="2" t="s">
        <v>248</v>
      </c>
      <c r="D4" s="2"/>
      <c r="E4" s="2" t="s">
        <v>250</v>
      </c>
      <c r="F4" s="2" t="s">
        <v>8</v>
      </c>
    </row>
    <row r="5" spans="1:6" x14ac:dyDescent="0.3">
      <c r="A5" t="s">
        <v>10</v>
      </c>
      <c r="B5" t="s">
        <v>77</v>
      </c>
      <c r="C5" t="str">
        <f>MarketData!$E$68</f>
        <v>EUR-EURIBOR-6M_MM_RATE_EUR_2D_6M#0000</v>
      </c>
      <c r="E5" t="str">
        <f>_xll.qlDepositRateHelper2("EURIBOR6M_DEP",C5,"6M",2,"TARGET","Modified Following",TRUE,"Actual/360",FALSE,Indexes!$B$31)</f>
        <v>EURIBOR6M_DEP#0000</v>
      </c>
      <c r="F5" t="str">
        <f>_xll.ohRangeRetrieveError(E5)</f>
        <v/>
      </c>
    </row>
    <row r="6" spans="1:6" x14ac:dyDescent="0.3">
      <c r="A6" t="s">
        <v>48</v>
      </c>
      <c r="B6" t="s">
        <v>78</v>
      </c>
      <c r="C6" t="str">
        <f>MarketData!$E$69</f>
        <v>EUR-EURIBOR-6M_FRA_RATE_EUR_1M_6M#0000</v>
      </c>
      <c r="E6" t="str">
        <f>_xll.qlFraRateHelper("EURIBOR6M_FRA_1M",C6,"1M",Indexes!$B$19,"LastRelevantDate",,FALSE,Indexes!$B$31)</f>
        <v>EURIBOR6M_FRA_1M#0000</v>
      </c>
      <c r="F6" t="str">
        <f>_xll.ohRangeRetrieveError(E6)</f>
        <v/>
      </c>
    </row>
    <row r="7" spans="1:6" x14ac:dyDescent="0.3">
      <c r="A7" t="s">
        <v>48</v>
      </c>
      <c r="B7" t="s">
        <v>79</v>
      </c>
      <c r="C7" t="str">
        <f>MarketData!$E$70</f>
        <v>EUR-EURIBOR-6M_FRA_RATE_EUR_2M_6M#0000</v>
      </c>
      <c r="E7" t="str">
        <f>_xll.qlFraRateHelper("EURIBOR6M_FRA_2M",C7,"2M",Indexes!$B$19,"LastRelevantDate",,FALSE,Indexes!$B$31)</f>
        <v>EURIBOR6M_FRA_2M#0000</v>
      </c>
      <c r="F7" t="str">
        <f>_xll.ohRangeRetrieveError(E7)</f>
        <v/>
      </c>
    </row>
    <row r="8" spans="1:6" x14ac:dyDescent="0.3">
      <c r="A8" t="s">
        <v>48</v>
      </c>
      <c r="B8" t="s">
        <v>80</v>
      </c>
      <c r="C8" t="str">
        <f>MarketData!$E$71</f>
        <v>EUR-EURIBOR-6M_FRA_RATE_EUR_3M_6M#0000</v>
      </c>
      <c r="E8" t="str">
        <f>_xll.qlFraRateHelper("EURIBOR6M_FRA_3M",C8,"3M",Indexes!$B$19,"LastRelevantDate",,FALSE,Indexes!$B$31)</f>
        <v>EURIBOR6M_FRA_3M#0000</v>
      </c>
      <c r="F8" t="str">
        <f>_xll.ohRangeRetrieveError(E8)</f>
        <v/>
      </c>
    </row>
    <row r="9" spans="1:6" x14ac:dyDescent="0.3">
      <c r="A9" t="s">
        <v>48</v>
      </c>
      <c r="B9" t="s">
        <v>81</v>
      </c>
      <c r="C9" t="str">
        <f>MarketData!$E$72</f>
        <v>EUR-EURIBOR-6M_FRA_RATE_EUR_4M_6M#0000</v>
      </c>
      <c r="E9" t="str">
        <f>_xll.qlFraRateHelper("EURIBOR6M_FRA_4M",C9,"4M",Indexes!$B$19,"LastRelevantDate",,FALSE,Indexes!$B$31)</f>
        <v>EURIBOR6M_FRA_4M#0000</v>
      </c>
      <c r="F9" t="str">
        <f>_xll.ohRangeRetrieveError(E9)</f>
        <v/>
      </c>
    </row>
    <row r="10" spans="1:6" x14ac:dyDescent="0.3">
      <c r="A10" t="s">
        <v>48</v>
      </c>
      <c r="B10" t="s">
        <v>82</v>
      </c>
      <c r="C10" t="str">
        <f>MarketData!$E$73</f>
        <v>EUR-EURIBOR-6M_FRA_RATE_EUR_5M_6M#0000</v>
      </c>
      <c r="E10" t="str">
        <f>_xll.qlFraRateHelper("EURIBOR6M_FRA_5M",C10,"5M",Indexes!$B$19,"LastRelevantDate",,FALSE,Indexes!$B$31)</f>
        <v>EURIBOR6M_FRA_5M#0000</v>
      </c>
      <c r="F10" t="str">
        <f>_xll.ohRangeRetrieveError(E10)</f>
        <v/>
      </c>
    </row>
    <row r="11" spans="1:6" x14ac:dyDescent="0.3">
      <c r="A11" t="s">
        <v>48</v>
      </c>
      <c r="B11" t="s">
        <v>83</v>
      </c>
      <c r="C11" t="str">
        <f>MarketData!$E$74</f>
        <v>EUR-EURIBOR-6M_FRA_RATE_EUR_6M_6M#0000</v>
      </c>
      <c r="E11" t="str">
        <f>_xll.qlFraRateHelper("EURIBOR6M_FRA_6M",C11,"6M",Indexes!$B$19,"LastRelevantDate",,FALSE,Indexes!$B$31)</f>
        <v>EURIBOR6M_FRA_6M#0000</v>
      </c>
      <c r="F11" t="str">
        <f>_xll.ohRangeRetrieveError(E11)</f>
        <v/>
      </c>
    </row>
    <row r="12" spans="1:6" x14ac:dyDescent="0.3">
      <c r="A12" t="s">
        <v>48</v>
      </c>
      <c r="B12" t="s">
        <v>84</v>
      </c>
      <c r="C12" t="str">
        <f>MarketData!$E$75</f>
        <v>EUR-EURIBOR-6M_FRA_RATE_EUR_9M_6M#0000</v>
      </c>
      <c r="E12" t="str">
        <f>_xll.qlFraRateHelper("EURIBOR6M_FRA_9M",C12,"9M",Indexes!$B$19,"LastRelevantDate",,FALSE,Indexes!$B$31)</f>
        <v>EURIBOR6M_FRA_9M#0000</v>
      </c>
      <c r="F12" t="str">
        <f>_xll.ohRangeRetrieveError(E12)</f>
        <v/>
      </c>
    </row>
    <row r="13" spans="1:6" x14ac:dyDescent="0.3">
      <c r="A13" t="s">
        <v>48</v>
      </c>
      <c r="B13" t="s">
        <v>85</v>
      </c>
      <c r="C13" t="str">
        <f>MarketData!$E$76</f>
        <v>EUR-EURIBOR-6M_FRA_RATE_EUR_12M_6M#0000</v>
      </c>
      <c r="E13" t="str">
        <f>_xll.qlFraRateHelper("EURIBOR6M_FRA_12M",C13,"12M",Indexes!$B$19,"LastRelevantDate",,FALSE,Indexes!$B$31)</f>
        <v>EURIBOR6M_FRA_12M#0000</v>
      </c>
      <c r="F13" t="str">
        <f>_xll.ohRangeRetrieveError(E13)</f>
        <v/>
      </c>
    </row>
    <row r="14" spans="1:6" x14ac:dyDescent="0.3">
      <c r="A14" t="s">
        <v>86</v>
      </c>
      <c r="B14" t="s">
        <v>87</v>
      </c>
      <c r="C14" t="str">
        <f>MarketData!$E$77</f>
        <v>EUR-EURIBOR-6M_IR_SWAP_RATE_EUR_2D_6M_2Y#0000</v>
      </c>
      <c r="E14" t="str">
        <f>_xll.qlSwapRateHelper2("EURIBOR6M_SWAP_2Y",C14,,"2Y","TARGET","Annual","Modified Following","30/360 (USA)",Indexes!$B$19,0,"0D",Indexes!$B$6,"LastRelevantDate",,FALSE,'EUR-EONIA'!$B$41)</f>
        <v>EURIBOR6M_SWAP_2Y#0000</v>
      </c>
      <c r="F14" t="str">
        <f>_xll.ohRangeRetrieveError(E14)</f>
        <v/>
      </c>
    </row>
    <row r="15" spans="1:6" x14ac:dyDescent="0.3">
      <c r="A15" t="s">
        <v>86</v>
      </c>
      <c r="B15" t="s">
        <v>88</v>
      </c>
      <c r="C15" t="str">
        <f>MarketData!$E$78</f>
        <v>EUR-EURIBOR-6M_IR_SWAP_RATE_EUR_2D_6M_3Y#0000</v>
      </c>
      <c r="E15" t="str">
        <f>_xll.qlSwapRateHelper2("EURIBOR6M_SWAP_3Y",C15,,"3Y","TARGET","Annual","Modified Following","30/360 (USA)",Indexes!$B$19,0,"0D",Indexes!$B$6,"LastRelevantDate",,FALSE,'EUR-EONIA'!$B$41)</f>
        <v>EURIBOR6M_SWAP_3Y#0000</v>
      </c>
      <c r="F15" t="str">
        <f>_xll.ohRangeRetrieveError(E15)</f>
        <v/>
      </c>
    </row>
    <row r="16" spans="1:6" x14ac:dyDescent="0.3">
      <c r="A16" t="s">
        <v>86</v>
      </c>
      <c r="B16" t="s">
        <v>89</v>
      </c>
      <c r="C16" t="str">
        <f>MarketData!$E$79</f>
        <v>EUR-EURIBOR-6M_IR_SWAP_RATE_EUR_2D_6M_4Y#0000</v>
      </c>
      <c r="E16" t="str">
        <f>_xll.qlSwapRateHelper2("EURIBOR6M_SWAP_4Y",C16,,"4Y","TARGET","Annual","Modified Following","30/360 (USA)",Indexes!$B$19,0,"0D",Indexes!$B$6,"LastRelevantDate",,FALSE,'EUR-EONIA'!$B$41)</f>
        <v>EURIBOR6M_SWAP_4Y#0000</v>
      </c>
      <c r="F16" t="str">
        <f>_xll.ohRangeRetrieveError(E16)</f>
        <v/>
      </c>
    </row>
    <row r="17" spans="1:6" x14ac:dyDescent="0.3">
      <c r="A17" t="s">
        <v>86</v>
      </c>
      <c r="B17" t="s">
        <v>90</v>
      </c>
      <c r="C17" t="str">
        <f>MarketData!$E$80</f>
        <v>EUR-EURIBOR-6M_IR_SWAP_RATE_EUR_2D_6M_5Y#0000</v>
      </c>
      <c r="E17" t="str">
        <f>_xll.qlSwapRateHelper2("EURIBOR6M_SWAP_5Y",C17,,"5Y","TARGET","Annual","Modified Following","30/360 (USA)",Indexes!$B$19,0,"0D",Indexes!$B$6,"LastRelevantDate",,FALSE,'EUR-EONIA'!$B$41)</f>
        <v>EURIBOR6M_SWAP_5Y#0000</v>
      </c>
      <c r="F17" t="str">
        <f>_xll.ohRangeRetrieveError(E17)</f>
        <v/>
      </c>
    </row>
    <row r="18" spans="1:6" x14ac:dyDescent="0.3">
      <c r="A18" t="s">
        <v>86</v>
      </c>
      <c r="B18" t="s">
        <v>91</v>
      </c>
      <c r="C18" t="str">
        <f>MarketData!$E$81</f>
        <v>EUR-EURIBOR-6M_IR_SWAP_RATE_EUR_2D_6M_6Y#0000</v>
      </c>
      <c r="E18" t="str">
        <f>_xll.qlSwapRateHelper2("EURIBOR6M_SWAP_6Y",C18,,"6Y","TARGET","Annual","Modified Following","30/360 (USA)",Indexes!$B$19,0,"0D",Indexes!$B$6,"LastRelevantDate",,FALSE,'EUR-EONIA'!$B$41)</f>
        <v>EURIBOR6M_SWAP_6Y#0000</v>
      </c>
      <c r="F18" t="str">
        <f>_xll.ohRangeRetrieveError(E18)</f>
        <v/>
      </c>
    </row>
    <row r="19" spans="1:6" x14ac:dyDescent="0.3">
      <c r="A19" t="s">
        <v>86</v>
      </c>
      <c r="B19" t="s">
        <v>92</v>
      </c>
      <c r="C19" t="str">
        <f>MarketData!$E$82</f>
        <v>EUR-EURIBOR-6M_IR_SWAP_RATE_EUR_2D_6M_7Y#0000</v>
      </c>
      <c r="E19" t="str">
        <f>_xll.qlSwapRateHelper2("EURIBOR6M_SWAP_7Y",C19,,"7Y","TARGET","Annual","Modified Following","30/360 (USA)",Indexes!$B$19,0,"0D",Indexes!$B$6,"LastRelevantDate",,FALSE,'EUR-EONIA'!$B$41)</f>
        <v>EURIBOR6M_SWAP_7Y#0000</v>
      </c>
      <c r="F19" t="str">
        <f>_xll.ohRangeRetrieveError(E19)</f>
        <v/>
      </c>
    </row>
    <row r="20" spans="1:6" x14ac:dyDescent="0.3">
      <c r="A20" t="s">
        <v>86</v>
      </c>
      <c r="B20" t="s">
        <v>93</v>
      </c>
      <c r="C20" t="str">
        <f>MarketData!$E$83</f>
        <v>EUR-EURIBOR-6M_IR_SWAP_RATE_EUR_2D_6M_8Y#0000</v>
      </c>
      <c r="E20" t="str">
        <f>_xll.qlSwapRateHelper2("EURIBOR6M_SWAP_8Y",C20,,"8Y","TARGET","Annual","Modified Following","30/360 (USA)",Indexes!$B$19,0,"0D",Indexes!$B$6,"LastRelevantDate",,FALSE,'EUR-EONIA'!$B$41)</f>
        <v>EURIBOR6M_SWAP_8Y#0000</v>
      </c>
      <c r="F20" t="str">
        <f>_xll.ohRangeRetrieveError(E20)</f>
        <v/>
      </c>
    </row>
    <row r="21" spans="1:6" x14ac:dyDescent="0.3">
      <c r="A21" t="s">
        <v>86</v>
      </c>
      <c r="B21" t="s">
        <v>94</v>
      </c>
      <c r="C21" t="str">
        <f>MarketData!$E$84</f>
        <v>EUR-EURIBOR-6M_IR_SWAP_RATE_EUR_2D_6M_9Y#0000</v>
      </c>
      <c r="E21" t="str">
        <f>_xll.qlSwapRateHelper2("EURIBOR6M_SWAP_9Y",C21,,"9Y","TARGET","Annual","Modified Following","30/360 (USA)",Indexes!$B$19,0,"0D",Indexes!$B$6,"LastRelevantDate",,FALSE,'EUR-EONIA'!$B$41)</f>
        <v>EURIBOR6M_SWAP_9Y#0000</v>
      </c>
      <c r="F21" t="str">
        <f>_xll.ohRangeRetrieveError(E21)</f>
        <v/>
      </c>
    </row>
    <row r="22" spans="1:6" x14ac:dyDescent="0.3">
      <c r="A22" t="s">
        <v>86</v>
      </c>
      <c r="B22" t="s">
        <v>95</v>
      </c>
      <c r="C22" t="str">
        <f>MarketData!$E$85</f>
        <v>EUR-EURIBOR-6M_IR_SWAP_RATE_EUR_2D_6M_10Y#0000</v>
      </c>
      <c r="E22" t="str">
        <f>_xll.qlSwapRateHelper2("EURIBOR6M_SWAP_10Y",C22,,"10Y","TARGET","Annual","Modified Following","30/360 (USA)",Indexes!$B$19,0,"0D",Indexes!$B$6,"LastRelevantDate",,FALSE,'EUR-EONIA'!$B$41)</f>
        <v>EURIBOR6M_SWAP_10Y#0000</v>
      </c>
      <c r="F22" t="str">
        <f>_xll.ohRangeRetrieveError(E22)</f>
        <v/>
      </c>
    </row>
    <row r="23" spans="1:6" x14ac:dyDescent="0.3">
      <c r="A23" t="s">
        <v>86</v>
      </c>
      <c r="B23" t="s">
        <v>96</v>
      </c>
      <c r="C23" t="str">
        <f>MarketData!$E$86</f>
        <v>EUR-EURIBOR-6M_IR_SWAP_RATE_EUR_2D_6M_12Y#0000</v>
      </c>
      <c r="E23" t="str">
        <f>_xll.qlSwapRateHelper2("EURIBOR6M_SWAP_12Y",C23,,"12Y","TARGET","Annual","Modified Following","30/360 (USA)",Indexes!$B$19,0,"0D",Indexes!$B$6,"LastRelevantDate",,FALSE,'EUR-EONIA'!$B$41)</f>
        <v>EURIBOR6M_SWAP_12Y#0000</v>
      </c>
      <c r="F23" t="str">
        <f>_xll.ohRangeRetrieveError(E23)</f>
        <v/>
      </c>
    </row>
    <row r="24" spans="1:6" x14ac:dyDescent="0.3">
      <c r="A24" t="s">
        <v>86</v>
      </c>
      <c r="B24" t="s">
        <v>97</v>
      </c>
      <c r="C24" t="str">
        <f>MarketData!$E$87</f>
        <v>EUR-EURIBOR-6M_IR_SWAP_RATE_EUR_2D_6M_15Y#0000</v>
      </c>
      <c r="E24" t="str">
        <f>_xll.qlSwapRateHelper2("EURIBOR6M_SWAP_15Y",C24,,"15Y","TARGET","Annual","Modified Following","30/360 (USA)",Indexes!$B$19,0,"0D",Indexes!$B$6,"LastRelevantDate",,FALSE,'EUR-EONIA'!$B$41)</f>
        <v>EURIBOR6M_SWAP_15Y#0000</v>
      </c>
      <c r="F24" t="str">
        <f>_xll.ohRangeRetrieveError(E24)</f>
        <v/>
      </c>
    </row>
    <row r="25" spans="1:6" x14ac:dyDescent="0.3">
      <c r="A25" t="s">
        <v>86</v>
      </c>
      <c r="B25" t="s">
        <v>98</v>
      </c>
      <c r="C25" t="str">
        <f>MarketData!$E$88</f>
        <v>EUR-EURIBOR-6M_IR_SWAP_RATE_EUR_2D_6M_20Y#0000</v>
      </c>
      <c r="E25" t="str">
        <f>_xll.qlSwapRateHelper2("EURIBOR6M_SWAP_20Y",C25,,"20Y","TARGET","Annual","Modified Following","30/360 (USA)",Indexes!$B$19,0,"0D",Indexes!$B$6,"LastRelevantDate",,FALSE,'EUR-EONIA'!$B$41)</f>
        <v>EURIBOR6M_SWAP_20Y#0000</v>
      </c>
      <c r="F25" t="str">
        <f>_xll.ohRangeRetrieveError(E25)</f>
        <v/>
      </c>
    </row>
    <row r="26" spans="1:6" x14ac:dyDescent="0.3">
      <c r="A26" t="s">
        <v>86</v>
      </c>
      <c r="B26" t="s">
        <v>99</v>
      </c>
      <c r="C26" t="str">
        <f>MarketData!$E$89</f>
        <v>EUR-EURIBOR-6M_IR_SWAP_RATE_EUR_2D_6M_25Y#0000</v>
      </c>
      <c r="E26" t="str">
        <f>_xll.qlSwapRateHelper2("EURIBOR6M_SWAP_25Y",C26,,"25Y","TARGET","Annual","Modified Following","30/360 (USA)",Indexes!$B$19,0,"0D",Indexes!$B$6,"LastRelevantDate",,FALSE,'EUR-EONIA'!$B$41)</f>
        <v>EURIBOR6M_SWAP_25Y#0000</v>
      </c>
      <c r="F26" t="str">
        <f>_xll.ohRangeRetrieveError(E26)</f>
        <v/>
      </c>
    </row>
    <row r="27" spans="1:6" x14ac:dyDescent="0.3">
      <c r="A27" t="s">
        <v>86</v>
      </c>
      <c r="B27" t="s">
        <v>100</v>
      </c>
      <c r="C27" t="str">
        <f>MarketData!$E$90</f>
        <v>EUR-EURIBOR-6M_IR_SWAP_RATE_EUR_2D_6M_30Y#0000</v>
      </c>
      <c r="E27" t="str">
        <f>_xll.qlSwapRateHelper2("EURIBOR6M_SWAP_30Y",C27,,"30Y","TARGET","Annual","Modified Following","30/360 (USA)",Indexes!$B$19,0,"0D",Indexes!$B$6,"LastRelevantDate",,FALSE,'EUR-EONIA'!$B$41)</f>
        <v>EURIBOR6M_SWAP_30Y#0000</v>
      </c>
      <c r="F27" t="str">
        <f>_xll.ohRangeRetrieveError(E27)</f>
        <v/>
      </c>
    </row>
    <row r="28" spans="1:6" x14ac:dyDescent="0.3">
      <c r="A28" t="s">
        <v>86</v>
      </c>
      <c r="B28" t="s">
        <v>101</v>
      </c>
      <c r="C28" t="str">
        <f>MarketData!$E$91</f>
        <v>EUR-EURIBOR-6M_IR_SWAP_RATE_EUR_2D_6M_40Y#0000</v>
      </c>
      <c r="E28" t="str">
        <f>_xll.qlSwapRateHelper2("EURIBOR6M_SWAP_40Y",C28,,"40Y","TARGET","Annual","Modified Following","30/360 (USA)",Indexes!$B$19,0,"0D",Indexes!$B$6,"LastRelevantDate",,FALSE,'EUR-EONIA'!$B$41)</f>
        <v>EURIBOR6M_SWAP_40Y#0000</v>
      </c>
      <c r="F28" t="str">
        <f>_xll.ohRangeRetrieveError(E28)</f>
        <v/>
      </c>
    </row>
    <row r="29" spans="1:6" x14ac:dyDescent="0.3">
      <c r="A29" t="s">
        <v>86</v>
      </c>
      <c r="B29" t="s">
        <v>102</v>
      </c>
      <c r="C29" t="str">
        <f>MarketData!$E$92</f>
        <v>EUR-EURIBOR-6M_IR_SWAP_RATE_EUR_2D_6M_50Y#0000</v>
      </c>
      <c r="E29" t="str">
        <f>_xll.qlSwapRateHelper2("EURIBOR6M_SWAP_50Y",C29,,"50Y","TARGET","Annual","Modified Following","30/360 (USA)",Indexes!$B$19,0,"0D",Indexes!$B$6,"LastRelevantDate",,FALSE,'EUR-EONIA'!$B$41)</f>
        <v>EURIBOR6M_SWAP_50Y#0000</v>
      </c>
      <c r="F29" t="str">
        <f>_xll.ohRangeRetrieveError(E29)</f>
        <v/>
      </c>
    </row>
    <row r="31" spans="1:6" x14ac:dyDescent="0.3">
      <c r="A31" t="s">
        <v>3</v>
      </c>
      <c r="B31" t="str">
        <f>_xll.qlPiecewiseYieldCurve("C_EUR-EURIBOR-6M",0,"TARGET",E5:E29,"Actual/365 (Fixed)",,,"Discount","LogLinear",FALSE,Indexes!$B$31)</f>
        <v>C_EUR-EURIBOR-6M#0000</v>
      </c>
      <c r="C31" t="str">
        <f>_xll.ohRangeRetrieveError(B31)</f>
        <v/>
      </c>
      <c r="D31" t="b">
        <f>_xll.qlExtrapolatorEnableExtrapolation(B31,TRUE)</f>
        <v>1</v>
      </c>
    </row>
    <row r="32" spans="1:6" x14ac:dyDescent="0.3">
      <c r="A32" t="s">
        <v>278</v>
      </c>
      <c r="B32" t="b">
        <f>_xll.qlRelinkableHandleLinkTo(Indexes!$B$9,B31,D31)</f>
        <v>1</v>
      </c>
      <c r="C32" t="str">
        <f>_xll.ohRangeRetrieveError(B32)</f>
        <v/>
      </c>
    </row>
    <row r="34" spans="1:5" x14ac:dyDescent="0.3">
      <c r="A34" s="2" t="s">
        <v>261</v>
      </c>
      <c r="B34" s="2" t="s">
        <v>262</v>
      </c>
      <c r="C34" s="2" t="s">
        <v>263</v>
      </c>
      <c r="D34" s="2" t="s">
        <v>241</v>
      </c>
      <c r="E34" s="2" t="s">
        <v>264</v>
      </c>
    </row>
    <row r="35" spans="1:5" x14ac:dyDescent="0.3">
      <c r="A35" s="1">
        <f>DATE(2020,7,2)</f>
        <v>44014</v>
      </c>
      <c r="B35" s="3">
        <v>1.0016729102147841</v>
      </c>
      <c r="C35" s="3">
        <f>_xll.qlYieldTSDiscount($B$31,A35,TRUE,$B$32)</f>
        <v>1.0016729102147841</v>
      </c>
      <c r="D35" s="4">
        <f t="shared" ref="D35:D59" si="0">C35-B35</f>
        <v>0</v>
      </c>
      <c r="E35" s="4">
        <f t="shared" ref="E35:E59" si="1">D35/B35</f>
        <v>0</v>
      </c>
    </row>
    <row r="36" spans="1:5" x14ac:dyDescent="0.3">
      <c r="A36" s="1">
        <f>DATE(2020,8,3)</f>
        <v>44046</v>
      </c>
      <c r="B36" s="3">
        <v>1.0019980802045676</v>
      </c>
      <c r="C36" s="3">
        <f>_xll.qlYieldTSDiscount($B$31,A36,TRUE,$B$32)</f>
        <v>1.0019980802045676</v>
      </c>
      <c r="D36" s="4">
        <f t="shared" si="0"/>
        <v>0</v>
      </c>
      <c r="E36" s="4">
        <f t="shared" si="1"/>
        <v>0</v>
      </c>
    </row>
    <row r="37" spans="1:5" x14ac:dyDescent="0.3">
      <c r="A37" s="1">
        <f>DATE(2020,9,2)</f>
        <v>44076</v>
      </c>
      <c r="B37" s="3">
        <v>1.0022547267954554</v>
      </c>
      <c r="C37" s="3">
        <f>_xll.qlYieldTSDiscount($B$31,A37,TRUE,$B$32)</f>
        <v>1.0022547267954554</v>
      </c>
      <c r="D37" s="4">
        <f t="shared" si="0"/>
        <v>0</v>
      </c>
      <c r="E37" s="4">
        <f t="shared" si="1"/>
        <v>0</v>
      </c>
    </row>
    <row r="38" spans="1:5" x14ac:dyDescent="0.3">
      <c r="A38" s="1">
        <f>DATE(2020,10,2)</f>
        <v>44106</v>
      </c>
      <c r="B38" s="3">
        <v>1.002531416249101</v>
      </c>
      <c r="C38" s="3">
        <f>_xll.qlYieldTSDiscount($B$31,A38,TRUE,$B$32)</f>
        <v>1.002531416249101</v>
      </c>
      <c r="D38" s="4">
        <f t="shared" si="0"/>
        <v>0</v>
      </c>
      <c r="E38" s="4">
        <f t="shared" si="1"/>
        <v>0</v>
      </c>
    </row>
    <row r="39" spans="1:5" x14ac:dyDescent="0.3">
      <c r="A39" s="1">
        <f>DATE(2020,11,4)</f>
        <v>44139</v>
      </c>
      <c r="B39" s="3">
        <v>1.0028202562237305</v>
      </c>
      <c r="C39" s="3">
        <f>_xll.qlYieldTSDiscount($B$31,A39,TRUE,$B$32)</f>
        <v>1.0028202562237305</v>
      </c>
      <c r="D39" s="4">
        <f t="shared" si="0"/>
        <v>0</v>
      </c>
      <c r="E39" s="4">
        <f t="shared" si="1"/>
        <v>0</v>
      </c>
    </row>
    <row r="40" spans="1:5" x14ac:dyDescent="0.3">
      <c r="A40" s="1">
        <f>DATE(2020,12,2)</f>
        <v>44167</v>
      </c>
      <c r="B40" s="3">
        <v>1.0030330378899808</v>
      </c>
      <c r="C40" s="3">
        <f>_xll.qlYieldTSDiscount($B$31,A40,TRUE,$B$32)</f>
        <v>1.0030330378899808</v>
      </c>
      <c r="D40" s="4">
        <f t="shared" si="0"/>
        <v>0</v>
      </c>
      <c r="E40" s="4">
        <f t="shared" si="1"/>
        <v>0</v>
      </c>
    </row>
    <row r="41" spans="1:5" x14ac:dyDescent="0.3">
      <c r="A41" s="1">
        <f>DATE(2021,1,4)</f>
        <v>44200</v>
      </c>
      <c r="B41" s="3">
        <v>1.0033317520447442</v>
      </c>
      <c r="C41" s="3">
        <f>_xll.qlYieldTSDiscount($B$31,A41,TRUE,$B$32)</f>
        <v>1.0033317520447442</v>
      </c>
      <c r="D41" s="4">
        <f t="shared" si="0"/>
        <v>0</v>
      </c>
      <c r="E41" s="4">
        <f t="shared" si="1"/>
        <v>0</v>
      </c>
    </row>
    <row r="42" spans="1:5" x14ac:dyDescent="0.3">
      <c r="A42" s="1">
        <f>DATE(2021,4,6)</f>
        <v>44292</v>
      </c>
      <c r="B42" s="3">
        <v>1.0041397133566607</v>
      </c>
      <c r="C42" s="3">
        <f>_xll.qlYieldTSDiscount($B$31,A42,TRUE,$B$32)</f>
        <v>1.0041397133566607</v>
      </c>
      <c r="D42" s="4">
        <f t="shared" si="0"/>
        <v>0</v>
      </c>
      <c r="E42" s="4">
        <f t="shared" si="1"/>
        <v>0</v>
      </c>
    </row>
    <row r="43" spans="1:5" x14ac:dyDescent="0.3">
      <c r="A43" s="1">
        <f>DATE(2021,7,5)</f>
        <v>44382</v>
      </c>
      <c r="B43" s="3">
        <v>1.0048049076844288</v>
      </c>
      <c r="C43" s="3">
        <f>_xll.qlYieldTSDiscount($B$31,A43,TRUE,$B$32)</f>
        <v>1.0048049076844288</v>
      </c>
      <c r="D43" s="4">
        <f t="shared" si="0"/>
        <v>0</v>
      </c>
      <c r="E43" s="4">
        <f t="shared" si="1"/>
        <v>0</v>
      </c>
    </row>
    <row r="44" spans="1:5" x14ac:dyDescent="0.3">
      <c r="A44" s="1">
        <f>DATE(2022,1,3)</f>
        <v>44564</v>
      </c>
      <c r="B44" s="3">
        <v>1.0060902968271335</v>
      </c>
      <c r="C44" s="3">
        <f>_xll.qlYieldTSDiscount($B$31,A44,TRUE,$B$32)</f>
        <v>1.0060902968271335</v>
      </c>
      <c r="D44" s="4">
        <f t="shared" si="0"/>
        <v>0</v>
      </c>
      <c r="E44" s="4">
        <f t="shared" si="1"/>
        <v>0</v>
      </c>
    </row>
    <row r="45" spans="1:5" x14ac:dyDescent="0.3">
      <c r="A45" s="1">
        <f>DATE(2023,1,2)</f>
        <v>44928</v>
      </c>
      <c r="B45" s="3">
        <v>1.0073189727310679</v>
      </c>
      <c r="C45" s="3">
        <f>_xll.qlYieldTSDiscount($B$31,A45,TRUE,$B$32)</f>
        <v>1.0073189727310679</v>
      </c>
      <c r="D45" s="4">
        <f t="shared" si="0"/>
        <v>0</v>
      </c>
      <c r="E45" s="4">
        <f t="shared" si="1"/>
        <v>0</v>
      </c>
    </row>
    <row r="46" spans="1:5" x14ac:dyDescent="0.3">
      <c r="A46" s="1">
        <f>DATE(2024,1,2)</f>
        <v>45293</v>
      </c>
      <c r="B46" s="3">
        <v>1.0077259504421088</v>
      </c>
      <c r="C46" s="3">
        <f>_xll.qlYieldTSDiscount($B$31,A46,TRUE,$B$32)</f>
        <v>1.0077259504421088</v>
      </c>
      <c r="D46" s="4">
        <f t="shared" si="0"/>
        <v>0</v>
      </c>
      <c r="E46" s="4">
        <f t="shared" si="1"/>
        <v>0</v>
      </c>
    </row>
    <row r="47" spans="1:5" x14ac:dyDescent="0.3">
      <c r="A47" s="1">
        <f>DATE(2025,1,2)</f>
        <v>45659</v>
      </c>
      <c r="B47" s="3">
        <v>1.0065900312942277</v>
      </c>
      <c r="C47" s="3">
        <f>_xll.qlYieldTSDiscount($B$31,A47,TRUE,$B$32)</f>
        <v>1.0065900312942277</v>
      </c>
      <c r="D47" s="4">
        <f t="shared" si="0"/>
        <v>0</v>
      </c>
      <c r="E47" s="4">
        <f t="shared" si="1"/>
        <v>0</v>
      </c>
    </row>
    <row r="48" spans="1:5" x14ac:dyDescent="0.3">
      <c r="A48" s="1">
        <f>DATE(2026,1,2)</f>
        <v>46024</v>
      </c>
      <c r="B48" s="3">
        <v>1.004169193385575</v>
      </c>
      <c r="C48" s="3">
        <f>_xll.qlYieldTSDiscount($B$31,A48,TRUE,$B$32)</f>
        <v>1.004169193385575</v>
      </c>
      <c r="D48" s="4">
        <f t="shared" si="0"/>
        <v>0</v>
      </c>
      <c r="E48" s="4">
        <f t="shared" si="1"/>
        <v>0</v>
      </c>
    </row>
    <row r="49" spans="1:5" x14ac:dyDescent="0.3">
      <c r="A49" s="1">
        <f>DATE(2027,1,4)</f>
        <v>46391</v>
      </c>
      <c r="B49" s="3">
        <v>0.99936248691940588</v>
      </c>
      <c r="C49" s="3">
        <f>_xll.qlYieldTSDiscount($B$31,A49,TRUE,$B$32)</f>
        <v>0.99936248691940588</v>
      </c>
      <c r="D49" s="4">
        <f t="shared" si="0"/>
        <v>0</v>
      </c>
      <c r="E49" s="4">
        <f t="shared" si="1"/>
        <v>0</v>
      </c>
    </row>
    <row r="50" spans="1:5" x14ac:dyDescent="0.3">
      <c r="A50" s="1">
        <f>DATE(2028,1,3)</f>
        <v>46755</v>
      </c>
      <c r="B50" s="3">
        <v>0.995138474023608</v>
      </c>
      <c r="C50" s="3">
        <f>_xll.qlYieldTSDiscount($B$31,A50,TRUE,$B$32)</f>
        <v>0.995138474023608</v>
      </c>
      <c r="D50" s="4">
        <f t="shared" si="0"/>
        <v>0</v>
      </c>
      <c r="E50" s="4">
        <f t="shared" si="1"/>
        <v>0</v>
      </c>
    </row>
    <row r="51" spans="1:5" x14ac:dyDescent="0.3">
      <c r="A51" s="1">
        <f>DATE(2029,1,2)</f>
        <v>47120</v>
      </c>
      <c r="B51" s="3">
        <v>0.98757991614509066</v>
      </c>
      <c r="C51" s="3">
        <f>_xll.qlYieldTSDiscount($B$31,A51,TRUE,$B$32)</f>
        <v>0.98757991614509066</v>
      </c>
      <c r="D51" s="4">
        <f t="shared" si="0"/>
        <v>0</v>
      </c>
      <c r="E51" s="4">
        <f t="shared" si="1"/>
        <v>0</v>
      </c>
    </row>
    <row r="52" spans="1:5" x14ac:dyDescent="0.3">
      <c r="A52" s="1">
        <f>DATE(2030,1,2)</f>
        <v>47485</v>
      </c>
      <c r="B52" s="3">
        <v>0.9800621814633701</v>
      </c>
      <c r="C52" s="3">
        <f>_xll.qlYieldTSDiscount($B$31,A52,TRUE,$B$32)</f>
        <v>0.9800621814633701</v>
      </c>
      <c r="D52" s="4">
        <f t="shared" si="0"/>
        <v>0</v>
      </c>
      <c r="E52" s="4">
        <f t="shared" si="1"/>
        <v>0</v>
      </c>
    </row>
    <row r="53" spans="1:5" x14ac:dyDescent="0.3">
      <c r="A53" s="1">
        <f>DATE(2032,1,2)</f>
        <v>48215</v>
      </c>
      <c r="B53" s="3">
        <v>0.96252159298531081</v>
      </c>
      <c r="C53" s="3">
        <f>_xll.qlYieldTSDiscount($B$31,A53,TRUE,$B$32)</f>
        <v>0.96252159298531081</v>
      </c>
      <c r="D53" s="4">
        <f t="shared" si="0"/>
        <v>0</v>
      </c>
      <c r="E53" s="4">
        <f t="shared" si="1"/>
        <v>0</v>
      </c>
    </row>
    <row r="54" spans="1:5" x14ac:dyDescent="0.3">
      <c r="A54" s="1">
        <f>DATE(2035,1,2)</f>
        <v>49311</v>
      </c>
      <c r="B54" s="3">
        <v>0.93261374376598138</v>
      </c>
      <c r="C54" s="3">
        <f>_xll.qlYieldTSDiscount($B$31,A54,TRUE,$B$32)</f>
        <v>0.93261374376598138</v>
      </c>
      <c r="D54" s="4">
        <f t="shared" si="0"/>
        <v>0</v>
      </c>
      <c r="E54" s="4">
        <f t="shared" si="1"/>
        <v>0</v>
      </c>
    </row>
    <row r="55" spans="1:5" x14ac:dyDescent="0.3">
      <c r="A55" s="1">
        <f>DATE(2040,1,2)</f>
        <v>51137</v>
      </c>
      <c r="B55" s="3">
        <v>0.88700653396446161</v>
      </c>
      <c r="C55" s="3">
        <f>_xll.qlYieldTSDiscount($B$31,A55,TRUE,$B$32)</f>
        <v>0.88700653396446161</v>
      </c>
      <c r="D55" s="4">
        <f t="shared" si="0"/>
        <v>0</v>
      </c>
      <c r="E55" s="4">
        <f t="shared" si="1"/>
        <v>0</v>
      </c>
    </row>
    <row r="56" spans="1:5" x14ac:dyDescent="0.3">
      <c r="A56" s="1">
        <f>DATE(2045,1,2)</f>
        <v>52964</v>
      </c>
      <c r="B56" s="3">
        <v>0.85219609516827632</v>
      </c>
      <c r="C56" s="3">
        <f>_xll.qlYieldTSDiscount($B$31,A56,TRUE,$B$32)</f>
        <v>0.85219609516827632</v>
      </c>
      <c r="D56" s="4">
        <f t="shared" si="0"/>
        <v>0</v>
      </c>
      <c r="E56" s="4">
        <f t="shared" si="1"/>
        <v>0</v>
      </c>
    </row>
    <row r="57" spans="1:5" x14ac:dyDescent="0.3">
      <c r="A57" s="1">
        <f>DATE(2050,1,3)</f>
        <v>54791</v>
      </c>
      <c r="B57" s="3">
        <v>0.82738321487086508</v>
      </c>
      <c r="C57" s="3">
        <f>_xll.qlYieldTSDiscount($B$31,A57,TRUE,$B$32)</f>
        <v>0.82738321487086508</v>
      </c>
      <c r="D57" s="4">
        <f t="shared" si="0"/>
        <v>0</v>
      </c>
      <c r="E57" s="4">
        <f t="shared" si="1"/>
        <v>0</v>
      </c>
    </row>
    <row r="58" spans="1:5" x14ac:dyDescent="0.3">
      <c r="A58" s="1">
        <f>DATE(2060,1,2)</f>
        <v>58442</v>
      </c>
      <c r="B58" s="3">
        <v>0.79397147908188237</v>
      </c>
      <c r="C58" s="3">
        <f>_xll.qlYieldTSDiscount($B$31,A58,TRUE,$B$32)</f>
        <v>0.79397147908188237</v>
      </c>
      <c r="D58" s="4">
        <f t="shared" si="0"/>
        <v>0</v>
      </c>
      <c r="E58" s="4">
        <f t="shared" si="1"/>
        <v>0</v>
      </c>
    </row>
    <row r="59" spans="1:5" x14ac:dyDescent="0.3">
      <c r="A59" s="1">
        <f>DATE(2070,1,2)</f>
        <v>62095</v>
      </c>
      <c r="B59" s="3">
        <v>0.77545201730792823</v>
      </c>
      <c r="C59" s="3">
        <f>_xll.qlYieldTSDiscount($B$31,A59,TRUE,$B$32)</f>
        <v>0.77545201730792823</v>
      </c>
      <c r="D59" s="4">
        <f t="shared" si="0"/>
        <v>0</v>
      </c>
      <c r="E59" s="4">
        <f t="shared" si="1"/>
        <v>0</v>
      </c>
    </row>
    <row r="61" spans="1:5" x14ac:dyDescent="0.3">
      <c r="A61" t="s">
        <v>265</v>
      </c>
      <c r="D61" s="4">
        <f>MAX(ABS(MIN(D35:D59)),ABS(MAX(D35:D59)))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D440-4623-40E1-992B-02F15CD77B99}">
  <dimension ref="A1:F65"/>
  <sheetViews>
    <sheetView workbookViewId="0"/>
  </sheetViews>
  <sheetFormatPr defaultRowHeight="14.4" x14ac:dyDescent="0.3"/>
  <cols>
    <col min="1" max="1" width="30.77734375" customWidth="1"/>
    <col min="2" max="2" width="40.77734375" customWidth="1"/>
    <col min="3" max="6" width="22.77734375" customWidth="1"/>
  </cols>
  <sheetData>
    <row r="1" spans="1:6" x14ac:dyDescent="0.3">
      <c r="A1" s="2" t="s">
        <v>279</v>
      </c>
    </row>
    <row r="2" spans="1:6" x14ac:dyDescent="0.3">
      <c r="A2" t="s">
        <v>280</v>
      </c>
    </row>
    <row r="4" spans="1:6" x14ac:dyDescent="0.3">
      <c r="A4" s="2" t="s">
        <v>4</v>
      </c>
      <c r="B4" s="2" t="s">
        <v>247</v>
      </c>
      <c r="C4" s="2" t="s">
        <v>248</v>
      </c>
      <c r="D4" s="2"/>
      <c r="E4" s="2" t="s">
        <v>250</v>
      </c>
      <c r="F4" s="2" t="s">
        <v>8</v>
      </c>
    </row>
    <row r="5" spans="1:6" x14ac:dyDescent="0.3">
      <c r="A5" t="s">
        <v>10</v>
      </c>
      <c r="B5" t="s">
        <v>47</v>
      </c>
      <c r="C5" t="str">
        <f>MarketData!$E$41</f>
        <v>EUR-EURIBOR-3M_MM_RATE_EUR_2D_3M#0000</v>
      </c>
      <c r="E5" t="str">
        <f>_xll.qlDepositRateHelper2("EURIBOR3M_DEP",C5,"3M",2,"TARGET","Modified Following",TRUE,"Actual/360",FALSE,Indexes!$B$31)</f>
        <v>EURIBOR3M_DEP#0000</v>
      </c>
      <c r="F5" t="str">
        <f>_xll.ohRangeRetrieveError(E5)</f>
        <v/>
      </c>
    </row>
    <row r="6" spans="1:6" x14ac:dyDescent="0.3">
      <c r="A6" t="s">
        <v>48</v>
      </c>
      <c r="B6" t="s">
        <v>49</v>
      </c>
      <c r="C6" t="str">
        <f>MarketData!$E$42</f>
        <v>EUR-EURIBOR-3M_FRA_RATE_EUR_1M_3M#0000</v>
      </c>
      <c r="E6" t="str">
        <f>_xll.qlFraRateHelper("EURIBOR3M_FRA_1M",C6,"1M",Indexes!$B$18,"LastRelevantDate",,FALSE,Indexes!$B$31)</f>
        <v>EURIBOR3M_FRA_1M#0000</v>
      </c>
      <c r="F6" t="str">
        <f>_xll.ohRangeRetrieveError(E6)</f>
        <v/>
      </c>
    </row>
    <row r="7" spans="1:6" x14ac:dyDescent="0.3">
      <c r="A7" t="s">
        <v>48</v>
      </c>
      <c r="B7" t="s">
        <v>50</v>
      </c>
      <c r="C7" t="str">
        <f>MarketData!$E$43</f>
        <v>EUR-EURIBOR-3M_FRA_RATE_EUR_2M_3M#0000</v>
      </c>
      <c r="E7" t="str">
        <f>_xll.qlFraRateHelper("EURIBOR3M_FRA_2M",C7,"2M",Indexes!$B$18,"LastRelevantDate",,FALSE,Indexes!$B$31)</f>
        <v>EURIBOR3M_FRA_2M#0000</v>
      </c>
      <c r="F7" t="str">
        <f>_xll.ohRangeRetrieveError(E7)</f>
        <v/>
      </c>
    </row>
    <row r="8" spans="1:6" x14ac:dyDescent="0.3">
      <c r="A8" t="s">
        <v>48</v>
      </c>
      <c r="B8" t="s">
        <v>51</v>
      </c>
      <c r="C8" t="str">
        <f>MarketData!$E$44</f>
        <v>EUR-EURIBOR-3M_FRA_RATE_EUR_3M_3M#0000</v>
      </c>
      <c r="E8" t="str">
        <f>_xll.qlFraRateHelper("EURIBOR3M_FRA_3M",C8,"3M",Indexes!$B$18,"LastRelevantDate",,FALSE,Indexes!$B$31)</f>
        <v>EURIBOR3M_FRA_3M#0000</v>
      </c>
      <c r="F8" t="str">
        <f>_xll.ohRangeRetrieveError(E8)</f>
        <v/>
      </c>
    </row>
    <row r="9" spans="1:6" x14ac:dyDescent="0.3">
      <c r="A9" t="s">
        <v>48</v>
      </c>
      <c r="B9" t="s">
        <v>52</v>
      </c>
      <c r="C9" t="str">
        <f>MarketData!$E$45</f>
        <v>EUR-EURIBOR-3M_FRA_RATE_EUR_4M_3M#0000</v>
      </c>
      <c r="E9" t="str">
        <f>_xll.qlFraRateHelper("EURIBOR3M_FRA_4M",C9,"4M",Indexes!$B$18,"LastRelevantDate",,FALSE,Indexes!$B$31)</f>
        <v>EURIBOR3M_FRA_4M#0000</v>
      </c>
      <c r="F9" t="str">
        <f>_xll.ohRangeRetrieveError(E9)</f>
        <v/>
      </c>
    </row>
    <row r="10" spans="1:6" x14ac:dyDescent="0.3">
      <c r="A10" t="s">
        <v>48</v>
      </c>
      <c r="B10" t="s">
        <v>53</v>
      </c>
      <c r="C10" t="str">
        <f>MarketData!$E$46</f>
        <v>EUR-EURIBOR-3M_FRA_RATE_EUR_5M_3M#0000</v>
      </c>
      <c r="E10" t="str">
        <f>_xll.qlFraRateHelper("EURIBOR3M_FRA_5M",C10,"5M",Indexes!$B$18,"LastRelevantDate",,FALSE,Indexes!$B$31)</f>
        <v>EURIBOR3M_FRA_5M#0000</v>
      </c>
      <c r="F10" t="str">
        <f>_xll.ohRangeRetrieveError(E10)</f>
        <v/>
      </c>
    </row>
    <row r="11" spans="1:6" x14ac:dyDescent="0.3">
      <c r="A11" t="s">
        <v>48</v>
      </c>
      <c r="B11" t="s">
        <v>54</v>
      </c>
      <c r="C11" t="str">
        <f>MarketData!$E$47</f>
        <v>EUR-EURIBOR-3M_FRA_RATE_EUR_6M_3M#0000</v>
      </c>
      <c r="E11" t="str">
        <f>_xll.qlFraRateHelper("EURIBOR3M_FRA_6M",C11,"6M",Indexes!$B$18,"LastRelevantDate",,FALSE,Indexes!$B$31)</f>
        <v>EURIBOR3M_FRA_6M#0000</v>
      </c>
      <c r="F11" t="str">
        <f>_xll.ohRangeRetrieveError(E11)</f>
        <v/>
      </c>
    </row>
    <row r="12" spans="1:6" x14ac:dyDescent="0.3">
      <c r="A12" t="s">
        <v>48</v>
      </c>
      <c r="B12" t="s">
        <v>55</v>
      </c>
      <c r="C12" t="str">
        <f>MarketData!$E$48</f>
        <v>EUR-EURIBOR-3M_FRA_RATE_EUR_7M_3M#0000</v>
      </c>
      <c r="E12" t="str">
        <f>_xll.qlFraRateHelper("EURIBOR3M_FRA_7M",C12,"7M",Indexes!$B$18,"LastRelevantDate",,FALSE,Indexes!$B$31)</f>
        <v>EURIBOR3M_FRA_7M#0000</v>
      </c>
      <c r="F12" t="str">
        <f>_xll.ohRangeRetrieveError(E12)</f>
        <v/>
      </c>
    </row>
    <row r="13" spans="1:6" x14ac:dyDescent="0.3">
      <c r="A13" t="s">
        <v>48</v>
      </c>
      <c r="B13" t="s">
        <v>56</v>
      </c>
      <c r="C13" t="str">
        <f>MarketData!$E$49</f>
        <v>EUR-EURIBOR-3M_FRA_RATE_EUR_8M_3M#0000</v>
      </c>
      <c r="E13" t="str">
        <f>_xll.qlFraRateHelper("EURIBOR3M_FRA_8M",C13,"8M",Indexes!$B$18,"LastRelevantDate",,FALSE,Indexes!$B$31)</f>
        <v>EURIBOR3M_FRA_8M#0000</v>
      </c>
      <c r="F13" t="str">
        <f>_xll.ohRangeRetrieveError(E13)</f>
        <v/>
      </c>
    </row>
    <row r="14" spans="1:6" x14ac:dyDescent="0.3">
      <c r="A14" t="s">
        <v>48</v>
      </c>
      <c r="B14" t="s">
        <v>57</v>
      </c>
      <c r="C14" t="str">
        <f>MarketData!$E$50</f>
        <v>EUR-EURIBOR-3M_FRA_RATE_EUR_9M_3M#0000</v>
      </c>
      <c r="E14" t="str">
        <f>_xll.qlFraRateHelper("EURIBOR3M_FRA_9M",C14,"9M",Indexes!$B$18,"LastRelevantDate",,FALSE,Indexes!$B$31)</f>
        <v>EURIBOR3M_FRA_9M#0000</v>
      </c>
      <c r="F14" t="str">
        <f>_xll.ohRangeRetrieveError(E14)</f>
        <v/>
      </c>
    </row>
    <row r="15" spans="1:6" x14ac:dyDescent="0.3">
      <c r="A15" t="s">
        <v>48</v>
      </c>
      <c r="B15" t="s">
        <v>58</v>
      </c>
      <c r="C15" t="str">
        <f>MarketData!$E$51</f>
        <v>EUR-EURIBOR-3M_FRA_RATE_EUR_12M_3M#0000</v>
      </c>
      <c r="E15" t="str">
        <f>_xll.qlFraRateHelper("EURIBOR3M_FRA_12M",C15,"12M",Indexes!$B$18,"LastRelevantDate",,FALSE,Indexes!$B$31)</f>
        <v>EURIBOR3M_FRA_12M#0000</v>
      </c>
      <c r="F15" t="str">
        <f>_xll.ohRangeRetrieveError(E15)</f>
        <v/>
      </c>
    </row>
    <row r="16" spans="1:6" x14ac:dyDescent="0.3">
      <c r="A16" t="s">
        <v>48</v>
      </c>
      <c r="B16" t="s">
        <v>59</v>
      </c>
      <c r="C16" t="str">
        <f>MarketData!$E$52</f>
        <v>EUR-EURIBOR-3M_FRA_RATE_EUR_15M_3M#0000</v>
      </c>
      <c r="E16" t="str">
        <f>_xll.qlFraRateHelper("EURIBOR3M_FRA_15M",C16,"15M",Indexes!$B$18,"LastRelevantDate",,FALSE,Indexes!$B$31)</f>
        <v>EURIBOR3M_FRA_15M#0000</v>
      </c>
      <c r="F16" t="str">
        <f>_xll.ohRangeRetrieveError(E16)</f>
        <v/>
      </c>
    </row>
    <row r="17" spans="1:6" x14ac:dyDescent="0.3">
      <c r="A17" t="s">
        <v>48</v>
      </c>
      <c r="B17" t="s">
        <v>60</v>
      </c>
      <c r="C17" t="str">
        <f>MarketData!$E$53</f>
        <v>EUR-EURIBOR-3M_FRA_RATE_EUR_18M_3M#0000</v>
      </c>
      <c r="E17" t="str">
        <f>_xll.qlFraRateHelper("EURIBOR3M_FRA_18M",C17,"18M",Indexes!$B$18,"LastRelevantDate",,FALSE,Indexes!$B$31)</f>
        <v>EURIBOR3M_FRA_18M#0000</v>
      </c>
      <c r="F17" t="str">
        <f>_xll.ohRangeRetrieveError(E17)</f>
        <v/>
      </c>
    </row>
    <row r="18" spans="1:6" x14ac:dyDescent="0.3">
      <c r="A18" t="s">
        <v>281</v>
      </c>
      <c r="B18" t="s">
        <v>62</v>
      </c>
      <c r="C18" t="str">
        <f>MarketData!$E$54</f>
        <v>EUR-EURIBOR-3M_BASIS_SWAP_BASIS_SPREAD_3M_6M_EUR_2Y#0000</v>
      </c>
      <c r="E18" t="str">
        <f>_xll.qlBasisTwoSwapHelper("EURIBOR3M_B2S_2Y",C18,"2Y","TARGET","Annual","Modified Following","30/360 (USA)",Indexes!$B$19,"Annual","Modified Following","30/360 (USA)",Indexes!$B$18,TRUE,Indexes!$B$6,TRUE,FALSE,FALSE,'EUR-EURIBOR-6M'!$B$32)</f>
        <v>EURIBOR3M_B2S_2Y#0000</v>
      </c>
      <c r="F18" t="str">
        <f>_xll.ohRangeRetrieveError(E18)</f>
        <v/>
      </c>
    </row>
    <row r="19" spans="1:6" x14ac:dyDescent="0.3">
      <c r="A19" t="s">
        <v>281</v>
      </c>
      <c r="B19" t="s">
        <v>63</v>
      </c>
      <c r="C19" t="str">
        <f>MarketData!$E$55</f>
        <v>EUR-EURIBOR-3M_BASIS_SWAP_BASIS_SPREAD_3M_6M_EUR_3Y#0000</v>
      </c>
      <c r="E19" t="str">
        <f>_xll.qlBasisTwoSwapHelper("EURIBOR3M_B2S_3Y",C19,"3Y","TARGET","Annual","Modified Following","30/360 (USA)",Indexes!$B$19,"Annual","Modified Following","30/360 (USA)",Indexes!$B$18,TRUE,Indexes!$B$6,TRUE,FALSE,FALSE,'EUR-EURIBOR-6M'!$B$32)</f>
        <v>EURIBOR3M_B2S_3Y#0000</v>
      </c>
      <c r="F19" t="str">
        <f>_xll.ohRangeRetrieveError(E19)</f>
        <v/>
      </c>
    </row>
    <row r="20" spans="1:6" x14ac:dyDescent="0.3">
      <c r="A20" t="s">
        <v>281</v>
      </c>
      <c r="B20" t="s">
        <v>64</v>
      </c>
      <c r="C20" t="str">
        <f>MarketData!$E$56</f>
        <v>EUR-EURIBOR-3M_BASIS_SWAP_BASIS_SPREAD_3M_6M_EUR_4Y#0000</v>
      </c>
      <c r="E20" t="str">
        <f>_xll.qlBasisTwoSwapHelper("EURIBOR3M_B2S_4Y",C20,"4Y","TARGET","Annual","Modified Following","30/360 (USA)",Indexes!$B$19,"Annual","Modified Following","30/360 (USA)",Indexes!$B$18,TRUE,Indexes!$B$6,TRUE,FALSE,FALSE,'EUR-EURIBOR-6M'!$B$32)</f>
        <v>EURIBOR3M_B2S_4Y#0000</v>
      </c>
      <c r="F20" t="str">
        <f>_xll.ohRangeRetrieveError(E20)</f>
        <v/>
      </c>
    </row>
    <row r="21" spans="1:6" x14ac:dyDescent="0.3">
      <c r="A21" t="s">
        <v>281</v>
      </c>
      <c r="B21" t="s">
        <v>65</v>
      </c>
      <c r="C21" t="str">
        <f>MarketData!$E$57</f>
        <v>EUR-EURIBOR-3M_BASIS_SWAP_BASIS_SPREAD_3M_6M_EUR_5Y#0000</v>
      </c>
      <c r="E21" t="str">
        <f>_xll.qlBasisTwoSwapHelper("EURIBOR3M_B2S_5Y",C21,"5Y","TARGET","Annual","Modified Following","30/360 (USA)",Indexes!$B$19,"Annual","Modified Following","30/360 (USA)",Indexes!$B$18,TRUE,Indexes!$B$6,TRUE,FALSE,FALSE,'EUR-EURIBOR-6M'!$B$32)</f>
        <v>EURIBOR3M_B2S_5Y#0000</v>
      </c>
      <c r="F21" t="str">
        <f>_xll.ohRangeRetrieveError(E21)</f>
        <v/>
      </c>
    </row>
    <row r="22" spans="1:6" x14ac:dyDescent="0.3">
      <c r="A22" t="s">
        <v>281</v>
      </c>
      <c r="B22" t="s">
        <v>66</v>
      </c>
      <c r="C22" t="str">
        <f>MarketData!$E$58</f>
        <v>EUR-EURIBOR-3M_BASIS_SWAP_BASIS_SPREAD_3M_6M_EUR_6Y#0000</v>
      </c>
      <c r="E22" t="str">
        <f>_xll.qlBasisTwoSwapHelper("EURIBOR3M_B2S_6Y",C22,"6Y","TARGET","Annual","Modified Following","30/360 (USA)",Indexes!$B$19,"Annual","Modified Following","30/360 (USA)",Indexes!$B$18,TRUE,Indexes!$B$6,TRUE,FALSE,FALSE,'EUR-EURIBOR-6M'!$B$32)</f>
        <v>EURIBOR3M_B2S_6Y#0000</v>
      </c>
      <c r="F22" t="str">
        <f>_xll.ohRangeRetrieveError(E22)</f>
        <v/>
      </c>
    </row>
    <row r="23" spans="1:6" x14ac:dyDescent="0.3">
      <c r="A23" t="s">
        <v>281</v>
      </c>
      <c r="B23" t="s">
        <v>67</v>
      </c>
      <c r="C23" t="str">
        <f>MarketData!$E$59</f>
        <v>EUR-EURIBOR-3M_BASIS_SWAP_BASIS_SPREAD_3M_6M_EUR_7Y#0000</v>
      </c>
      <c r="E23" t="str">
        <f>_xll.qlBasisTwoSwapHelper("EURIBOR3M_B2S_7Y",C23,"7Y","TARGET","Annual","Modified Following","30/360 (USA)",Indexes!$B$19,"Annual","Modified Following","30/360 (USA)",Indexes!$B$18,TRUE,Indexes!$B$6,TRUE,FALSE,FALSE,'EUR-EURIBOR-6M'!$B$32)</f>
        <v>EURIBOR3M_B2S_7Y#0000</v>
      </c>
      <c r="F23" t="str">
        <f>_xll.ohRangeRetrieveError(E23)</f>
        <v/>
      </c>
    </row>
    <row r="24" spans="1:6" x14ac:dyDescent="0.3">
      <c r="A24" t="s">
        <v>281</v>
      </c>
      <c r="B24" t="s">
        <v>68</v>
      </c>
      <c r="C24" t="str">
        <f>MarketData!$E$60</f>
        <v>EUR-EURIBOR-3M_BASIS_SWAP_BASIS_SPREAD_3M_6M_EUR_8Y#0000</v>
      </c>
      <c r="E24" t="str">
        <f>_xll.qlBasisTwoSwapHelper("EURIBOR3M_B2S_8Y",C24,"8Y","TARGET","Annual","Modified Following","30/360 (USA)",Indexes!$B$19,"Annual","Modified Following","30/360 (USA)",Indexes!$B$18,TRUE,Indexes!$B$6,TRUE,FALSE,FALSE,'EUR-EURIBOR-6M'!$B$32)</f>
        <v>EURIBOR3M_B2S_8Y#0000</v>
      </c>
      <c r="F24" t="str">
        <f>_xll.ohRangeRetrieveError(E24)</f>
        <v/>
      </c>
    </row>
    <row r="25" spans="1:6" x14ac:dyDescent="0.3">
      <c r="A25" t="s">
        <v>281</v>
      </c>
      <c r="B25" t="s">
        <v>69</v>
      </c>
      <c r="C25" t="str">
        <f>MarketData!$E$61</f>
        <v>EUR-EURIBOR-3M_BASIS_SWAP_BASIS_SPREAD_3M_6M_EUR_9Y#0000</v>
      </c>
      <c r="E25" t="str">
        <f>_xll.qlBasisTwoSwapHelper("EURIBOR3M_B2S_9Y",C25,"9Y","TARGET","Annual","Modified Following","30/360 (USA)",Indexes!$B$19,"Annual","Modified Following","30/360 (USA)",Indexes!$B$18,TRUE,Indexes!$B$6,TRUE,FALSE,FALSE,'EUR-EURIBOR-6M'!$B$32)</f>
        <v>EURIBOR3M_B2S_9Y#0000</v>
      </c>
      <c r="F25" t="str">
        <f>_xll.ohRangeRetrieveError(E25)</f>
        <v/>
      </c>
    </row>
    <row r="26" spans="1:6" x14ac:dyDescent="0.3">
      <c r="A26" t="s">
        <v>281</v>
      </c>
      <c r="B26" t="s">
        <v>70</v>
      </c>
      <c r="C26" t="str">
        <f>MarketData!$E$62</f>
        <v>EUR-EURIBOR-3M_BASIS_SWAP_BASIS_SPREAD_3M_6M_EUR_10Y#0000</v>
      </c>
      <c r="E26" t="str">
        <f>_xll.qlBasisTwoSwapHelper("EURIBOR3M_B2S_10Y",C26,"10Y","TARGET","Annual","Modified Following","30/360 (USA)",Indexes!$B$19,"Annual","Modified Following","30/360 (USA)",Indexes!$B$18,TRUE,Indexes!$B$6,TRUE,FALSE,FALSE,'EUR-EURIBOR-6M'!$B$32)</f>
        <v>EURIBOR3M_B2S_10Y#0000</v>
      </c>
      <c r="F26" t="str">
        <f>_xll.ohRangeRetrieveError(E26)</f>
        <v/>
      </c>
    </row>
    <row r="27" spans="1:6" x14ac:dyDescent="0.3">
      <c r="A27" t="s">
        <v>281</v>
      </c>
      <c r="B27" t="s">
        <v>71</v>
      </c>
      <c r="C27" t="str">
        <f>MarketData!$E$63</f>
        <v>EUR-EURIBOR-3M_BASIS_SWAP_BASIS_SPREAD_3M_6M_EUR_12Y#0000</v>
      </c>
      <c r="E27" t="str">
        <f>_xll.qlBasisTwoSwapHelper("EURIBOR3M_B2S_12Y",C27,"12Y","TARGET","Annual","Modified Following","30/360 (USA)",Indexes!$B$19,"Annual","Modified Following","30/360 (USA)",Indexes!$B$18,TRUE,Indexes!$B$6,TRUE,FALSE,FALSE,'EUR-EURIBOR-6M'!$B$32)</f>
        <v>EURIBOR3M_B2S_12Y#0000</v>
      </c>
      <c r="F27" t="str">
        <f>_xll.ohRangeRetrieveError(E27)</f>
        <v/>
      </c>
    </row>
    <row r="28" spans="1:6" x14ac:dyDescent="0.3">
      <c r="A28" t="s">
        <v>281</v>
      </c>
      <c r="B28" t="s">
        <v>72</v>
      </c>
      <c r="C28" t="str">
        <f>MarketData!$E$64</f>
        <v>EUR-EURIBOR-3M_BASIS_SWAP_BASIS_SPREAD_3M_6M_EUR_15Y#0000</v>
      </c>
      <c r="E28" t="str">
        <f>_xll.qlBasisTwoSwapHelper("EURIBOR3M_B2S_15Y",C28,"15Y","TARGET","Annual","Modified Following","30/360 (USA)",Indexes!$B$19,"Annual","Modified Following","30/360 (USA)",Indexes!$B$18,TRUE,Indexes!$B$6,TRUE,FALSE,FALSE,'EUR-EURIBOR-6M'!$B$32)</f>
        <v>EURIBOR3M_B2S_15Y#0000</v>
      </c>
      <c r="F28" t="str">
        <f>_xll.ohRangeRetrieveError(E28)</f>
        <v/>
      </c>
    </row>
    <row r="29" spans="1:6" x14ac:dyDescent="0.3">
      <c r="A29" t="s">
        <v>281</v>
      </c>
      <c r="B29" t="s">
        <v>73</v>
      </c>
      <c r="C29" t="str">
        <f>MarketData!$E$65</f>
        <v>EUR-EURIBOR-3M_BASIS_SWAP_BASIS_SPREAD_3M_6M_EUR_20Y#0000</v>
      </c>
      <c r="E29" t="str">
        <f>_xll.qlBasisTwoSwapHelper("EURIBOR3M_B2S_20Y",C29,"20Y","TARGET","Annual","Modified Following","30/360 (USA)",Indexes!$B$19,"Annual","Modified Following","30/360 (USA)",Indexes!$B$18,TRUE,Indexes!$B$6,TRUE,FALSE,FALSE,'EUR-EURIBOR-6M'!$B$32)</f>
        <v>EURIBOR3M_B2S_20Y#0000</v>
      </c>
      <c r="F29" t="str">
        <f>_xll.ohRangeRetrieveError(E29)</f>
        <v/>
      </c>
    </row>
    <row r="30" spans="1:6" x14ac:dyDescent="0.3">
      <c r="A30" t="s">
        <v>281</v>
      </c>
      <c r="B30" t="s">
        <v>74</v>
      </c>
      <c r="C30" t="str">
        <f>MarketData!$E$66</f>
        <v>EUR-EURIBOR-3M_BASIS_SWAP_BASIS_SPREAD_3M_6M_EUR_25Y#0000</v>
      </c>
      <c r="E30" t="str">
        <f>_xll.qlBasisTwoSwapHelper("EURIBOR3M_B2S_25Y",C30,"25Y","TARGET","Annual","Modified Following","30/360 (USA)",Indexes!$B$19,"Annual","Modified Following","30/360 (USA)",Indexes!$B$18,TRUE,Indexes!$B$6,TRUE,FALSE,FALSE,'EUR-EURIBOR-6M'!$B$32)</f>
        <v>EURIBOR3M_B2S_25Y#0000</v>
      </c>
      <c r="F30" t="str">
        <f>_xll.ohRangeRetrieveError(E30)</f>
        <v/>
      </c>
    </row>
    <row r="31" spans="1:6" x14ac:dyDescent="0.3">
      <c r="A31" t="s">
        <v>281</v>
      </c>
      <c r="B31" t="s">
        <v>75</v>
      </c>
      <c r="C31" t="str">
        <f>MarketData!$E$67</f>
        <v>EUR-EURIBOR-3M_BASIS_SWAP_BASIS_SPREAD_3M_6M_EUR_30Y#0000</v>
      </c>
      <c r="E31" t="str">
        <f>_xll.qlBasisTwoSwapHelper("EURIBOR3M_B2S_30Y",C31,"30Y","TARGET","Annual","Modified Following","30/360 (USA)",Indexes!$B$19,"Annual","Modified Following","30/360 (USA)",Indexes!$B$18,TRUE,Indexes!$B$6,TRUE,FALSE,FALSE,'EUR-EURIBOR-6M'!$B$32)</f>
        <v>EURIBOR3M_B2S_30Y#0000</v>
      </c>
      <c r="F31" t="str">
        <f>_xll.ohRangeRetrieveError(E31)</f>
        <v/>
      </c>
    </row>
    <row r="33" spans="1:5" x14ac:dyDescent="0.3">
      <c r="A33" t="s">
        <v>3</v>
      </c>
      <c r="B33" t="str">
        <f>_xll.qlPiecewiseYieldCurve("C_EUR-EURIBOR-3M",0,"TARGET",E5:E31,"Actual/365 (Fixed)",,,"Discount","LogLinear",FALSE,Indexes!$B$31)</f>
        <v>C_EUR-EURIBOR-3M#0000</v>
      </c>
      <c r="C33" t="str">
        <f>_xll.ohRangeRetrieveError(B33)</f>
        <v/>
      </c>
      <c r="D33" t="b">
        <f>_xll.qlExtrapolatorEnableExtrapolation(B33,TRUE)</f>
        <v>1</v>
      </c>
    </row>
    <row r="34" spans="1:5" x14ac:dyDescent="0.3">
      <c r="A34" t="s">
        <v>282</v>
      </c>
      <c r="B34" t="b">
        <f>_xll.qlRelinkableHandleLinkTo(Indexes!$B$10,B33,D33)</f>
        <v>1</v>
      </c>
      <c r="C34" t="str">
        <f>_xll.ohRangeRetrieveError(B34)</f>
        <v/>
      </c>
    </row>
    <row r="36" spans="1:5" x14ac:dyDescent="0.3">
      <c r="A36" s="2" t="s">
        <v>261</v>
      </c>
      <c r="B36" s="2" t="s">
        <v>262</v>
      </c>
      <c r="C36" s="2" t="s">
        <v>263</v>
      </c>
      <c r="D36" s="2" t="s">
        <v>241</v>
      </c>
      <c r="E36" s="2" t="s">
        <v>264</v>
      </c>
    </row>
    <row r="37" spans="1:5" x14ac:dyDescent="0.3">
      <c r="A37" s="1">
        <f>DATE(2020,4,2)</f>
        <v>43923</v>
      </c>
      <c r="B37" s="3">
        <v>1.001019354806405</v>
      </c>
      <c r="C37" s="3">
        <f>_xll.qlYieldTSDiscount($B$33,A37,TRUE,$B$34)</f>
        <v>1.001019354806405</v>
      </c>
      <c r="D37" s="4">
        <f t="shared" ref="D37:D63" si="0">C37-B37</f>
        <v>0</v>
      </c>
      <c r="E37" s="4">
        <f t="shared" ref="E37:E63" si="1">D37/B37</f>
        <v>0</v>
      </c>
    </row>
    <row r="38" spans="1:5" x14ac:dyDescent="0.3">
      <c r="A38" s="1">
        <f>DATE(2020,5,4)</f>
        <v>43955</v>
      </c>
      <c r="B38" s="3">
        <v>1.0013792750409614</v>
      </c>
      <c r="C38" s="3">
        <f>_xll.qlYieldTSDiscount($B$33,A38,TRUE,$B$34)</f>
        <v>1.0013792750409614</v>
      </c>
      <c r="D38" s="4">
        <f t="shared" si="0"/>
        <v>0</v>
      </c>
      <c r="E38" s="4">
        <f t="shared" si="1"/>
        <v>0</v>
      </c>
    </row>
    <row r="39" spans="1:5" x14ac:dyDescent="0.3">
      <c r="A39" s="1">
        <f>DATE(2020,6,2)</f>
        <v>43984</v>
      </c>
      <c r="B39" s="3">
        <v>1.0016942244928966</v>
      </c>
      <c r="C39" s="3">
        <f>_xll.qlYieldTSDiscount($B$33,A39,TRUE,$B$34)</f>
        <v>1.0016942244928966</v>
      </c>
      <c r="D39" s="4">
        <f t="shared" si="0"/>
        <v>0</v>
      </c>
      <c r="E39" s="4">
        <f t="shared" si="1"/>
        <v>0</v>
      </c>
    </row>
    <row r="40" spans="1:5" x14ac:dyDescent="0.3">
      <c r="A40" s="1">
        <f>DATE(2020,7,2)</f>
        <v>44014</v>
      </c>
      <c r="B40" s="3">
        <v>1.002019843786498</v>
      </c>
      <c r="C40" s="3">
        <f>_xll.qlYieldTSDiscount($B$33,A40,TRUE,$B$34)</f>
        <v>1.002019843786498</v>
      </c>
      <c r="D40" s="4">
        <f t="shared" si="0"/>
        <v>0</v>
      </c>
      <c r="E40" s="4">
        <f t="shared" si="1"/>
        <v>0</v>
      </c>
    </row>
    <row r="41" spans="1:5" x14ac:dyDescent="0.3">
      <c r="A41" s="1">
        <f>DATE(2020,8,4)</f>
        <v>44047</v>
      </c>
      <c r="B41" s="3">
        <v>1.0023911332015321</v>
      </c>
      <c r="C41" s="3">
        <f>_xll.qlYieldTSDiscount($B$33,A41,TRUE,$B$34)</f>
        <v>1.0023911332015321</v>
      </c>
      <c r="D41" s="4">
        <f t="shared" si="0"/>
        <v>0</v>
      </c>
      <c r="E41" s="4">
        <f t="shared" si="1"/>
        <v>0</v>
      </c>
    </row>
    <row r="42" spans="1:5" x14ac:dyDescent="0.3">
      <c r="A42" s="1">
        <f>DATE(2020,9,2)</f>
        <v>44076</v>
      </c>
      <c r="B42" s="3">
        <v>1.0027064008986308</v>
      </c>
      <c r="C42" s="3">
        <f>_xll.qlYieldTSDiscount($B$33,A42,TRUE,$B$34)</f>
        <v>1.0027064008986308</v>
      </c>
      <c r="D42" s="4">
        <f t="shared" si="0"/>
        <v>0</v>
      </c>
      <c r="E42" s="4">
        <f t="shared" si="1"/>
        <v>0</v>
      </c>
    </row>
    <row r="43" spans="1:5" x14ac:dyDescent="0.3">
      <c r="A43" s="1">
        <f>DATE(2020,10,2)</f>
        <v>44106</v>
      </c>
      <c r="B43" s="3">
        <v>1.0030279872165861</v>
      </c>
      <c r="C43" s="3">
        <f>_xll.qlYieldTSDiscount($B$33,A43,TRUE,$B$34)</f>
        <v>1.0030279872165861</v>
      </c>
      <c r="D43" s="4">
        <f t="shared" si="0"/>
        <v>0</v>
      </c>
      <c r="E43" s="4">
        <f t="shared" si="1"/>
        <v>0</v>
      </c>
    </row>
    <row r="44" spans="1:5" x14ac:dyDescent="0.3">
      <c r="A44" s="1">
        <f>DATE(2020,11,3)</f>
        <v>44138</v>
      </c>
      <c r="B44" s="3">
        <v>1.003379915301845</v>
      </c>
      <c r="C44" s="3">
        <f>_xll.qlYieldTSDiscount($B$33,A44,TRUE,$B$34)</f>
        <v>1.003379915301845</v>
      </c>
      <c r="D44" s="4">
        <f t="shared" si="0"/>
        <v>0</v>
      </c>
      <c r="E44" s="4">
        <f t="shared" si="1"/>
        <v>0</v>
      </c>
    </row>
    <row r="45" spans="1:5" x14ac:dyDescent="0.3">
      <c r="A45" s="1">
        <f>DATE(2020,12,2)</f>
        <v>44167</v>
      </c>
      <c r="B45" s="3">
        <v>1.0036958777514278</v>
      </c>
      <c r="C45" s="3">
        <f>_xll.qlYieldTSDiscount($B$33,A45,TRUE,$B$34)</f>
        <v>1.0036958777514278</v>
      </c>
      <c r="D45" s="4">
        <f t="shared" si="0"/>
        <v>0</v>
      </c>
      <c r="E45" s="4">
        <f t="shared" si="1"/>
        <v>0</v>
      </c>
    </row>
    <row r="46" spans="1:5" x14ac:dyDescent="0.3">
      <c r="A46" s="1">
        <f>DATE(2021,1,4)</f>
        <v>44200</v>
      </c>
      <c r="B46" s="3">
        <v>1.0040504452534684</v>
      </c>
      <c r="C46" s="3">
        <f>_xll.qlYieldTSDiscount($B$33,A46,TRUE,$B$34)</f>
        <v>1.0040504452534684</v>
      </c>
      <c r="D46" s="4">
        <f t="shared" si="0"/>
        <v>0</v>
      </c>
      <c r="E46" s="4">
        <f t="shared" si="1"/>
        <v>0</v>
      </c>
    </row>
    <row r="47" spans="1:5" x14ac:dyDescent="0.3">
      <c r="A47" s="1">
        <f>DATE(2021,4,6)</f>
        <v>44292</v>
      </c>
      <c r="B47" s="3">
        <v>1.0050264375939766</v>
      </c>
      <c r="C47" s="3">
        <f>_xll.qlYieldTSDiscount($B$33,A47,TRUE,$B$34)</f>
        <v>1.0050264375939766</v>
      </c>
      <c r="D47" s="4">
        <f t="shared" si="0"/>
        <v>0</v>
      </c>
      <c r="E47" s="4">
        <f t="shared" si="1"/>
        <v>0</v>
      </c>
    </row>
    <row r="48" spans="1:5" x14ac:dyDescent="0.3">
      <c r="A48" s="1">
        <f>DATE(2021,7,6)</f>
        <v>44383</v>
      </c>
      <c r="B48" s="3">
        <v>1.0059672964515203</v>
      </c>
      <c r="C48" s="3">
        <f>_xll.qlYieldTSDiscount($B$33,A48,TRUE,$B$34)</f>
        <v>1.0059672964515203</v>
      </c>
      <c r="D48" s="4">
        <f t="shared" si="0"/>
        <v>0</v>
      </c>
      <c r="E48" s="4">
        <f t="shared" si="1"/>
        <v>0</v>
      </c>
    </row>
    <row r="49" spans="1:5" x14ac:dyDescent="0.3">
      <c r="A49" s="1">
        <f>DATE(2021,10,4)</f>
        <v>44473</v>
      </c>
      <c r="B49" s="3">
        <v>1.0068197537207657</v>
      </c>
      <c r="C49" s="3">
        <f>_xll.qlYieldTSDiscount($B$33,A49,TRUE,$B$34)</f>
        <v>1.0068197537207657</v>
      </c>
      <c r="D49" s="4">
        <f t="shared" si="0"/>
        <v>0</v>
      </c>
      <c r="E49" s="4">
        <f t="shared" si="1"/>
        <v>0</v>
      </c>
    </row>
    <row r="50" spans="1:5" x14ac:dyDescent="0.3">
      <c r="A50" s="1">
        <f>DATE(2022,1,3)</f>
        <v>44564</v>
      </c>
      <c r="B50" s="3">
        <v>1.0075143757800884</v>
      </c>
      <c r="C50" s="3">
        <f>_xll.qlYieldTSDiscount($B$33,A50,TRUE,$B$34)</f>
        <v>1.0075143757800884</v>
      </c>
      <c r="D50" s="4">
        <f t="shared" si="0"/>
        <v>0</v>
      </c>
      <c r="E50" s="4">
        <f t="shared" si="1"/>
        <v>0</v>
      </c>
    </row>
    <row r="51" spans="1:5" x14ac:dyDescent="0.3">
      <c r="A51" s="1">
        <f>DATE(2023,1,2)</f>
        <v>44928</v>
      </c>
      <c r="B51" s="3">
        <v>1.0095725014042809</v>
      </c>
      <c r="C51" s="3">
        <f>_xll.qlYieldTSDiscount($B$33,A51,TRUE,$B$34)</f>
        <v>1.0095725014042809</v>
      </c>
      <c r="D51" s="4">
        <f t="shared" si="0"/>
        <v>0</v>
      </c>
      <c r="E51" s="4">
        <f t="shared" si="1"/>
        <v>0</v>
      </c>
    </row>
    <row r="52" spans="1:5" x14ac:dyDescent="0.3">
      <c r="A52" s="1">
        <f>DATE(2024,1,2)</f>
        <v>45293</v>
      </c>
      <c r="B52" s="3">
        <v>1.0107316054762565</v>
      </c>
      <c r="C52" s="3">
        <f>_xll.qlYieldTSDiscount($B$33,A52,TRUE,$B$34)</f>
        <v>1.0107316054762565</v>
      </c>
      <c r="D52" s="4">
        <f t="shared" si="0"/>
        <v>0</v>
      </c>
      <c r="E52" s="4">
        <f t="shared" si="1"/>
        <v>0</v>
      </c>
    </row>
    <row r="53" spans="1:5" x14ac:dyDescent="0.3">
      <c r="A53" s="1">
        <f>DATE(2025,1,2)</f>
        <v>45659</v>
      </c>
      <c r="B53" s="3">
        <v>1.0103168166936691</v>
      </c>
      <c r="C53" s="3">
        <f>_xll.qlYieldTSDiscount($B$33,A53,TRUE,$B$34)</f>
        <v>1.0103168166936691</v>
      </c>
      <c r="D53" s="4">
        <f t="shared" si="0"/>
        <v>0</v>
      </c>
      <c r="E53" s="4">
        <f t="shared" si="1"/>
        <v>0</v>
      </c>
    </row>
    <row r="54" spans="1:5" x14ac:dyDescent="0.3">
      <c r="A54" s="1">
        <f>DATE(2026,1,2)</f>
        <v>46024</v>
      </c>
      <c r="B54" s="3">
        <v>1.0085430684934047</v>
      </c>
      <c r="C54" s="3">
        <f>_xll.qlYieldTSDiscount($B$33,A54,TRUE,$B$34)</f>
        <v>1.0085430684934047</v>
      </c>
      <c r="D54" s="4">
        <f t="shared" si="0"/>
        <v>0</v>
      </c>
      <c r="E54" s="4">
        <f t="shared" si="1"/>
        <v>0</v>
      </c>
    </row>
    <row r="55" spans="1:5" x14ac:dyDescent="0.3">
      <c r="A55" s="1">
        <f>DATE(2027,1,4)</f>
        <v>46391</v>
      </c>
      <c r="B55" s="3">
        <v>1.0043093187430721</v>
      </c>
      <c r="C55" s="3">
        <f>_xll.qlYieldTSDiscount($B$33,A55,TRUE,$B$34)</f>
        <v>1.0043093187430721</v>
      </c>
      <c r="D55" s="4">
        <f t="shared" si="0"/>
        <v>0</v>
      </c>
      <c r="E55" s="4">
        <f t="shared" si="1"/>
        <v>0</v>
      </c>
    </row>
    <row r="56" spans="1:5" x14ac:dyDescent="0.3">
      <c r="A56" s="1">
        <f>DATE(2028,1,3)</f>
        <v>46755</v>
      </c>
      <c r="B56" s="3">
        <v>1.0005727796925592</v>
      </c>
      <c r="C56" s="3">
        <f>_xll.qlYieldTSDiscount($B$33,A56,TRUE,$B$34)</f>
        <v>1.0005727796925592</v>
      </c>
      <c r="D56" s="4">
        <f t="shared" si="0"/>
        <v>0</v>
      </c>
      <c r="E56" s="4">
        <f t="shared" si="1"/>
        <v>0</v>
      </c>
    </row>
    <row r="57" spans="1:5" x14ac:dyDescent="0.3">
      <c r="A57" s="1">
        <f>DATE(2029,1,2)</f>
        <v>47120</v>
      </c>
      <c r="B57" s="3">
        <v>0.99342683060089054</v>
      </c>
      <c r="C57" s="3">
        <f>_xll.qlYieldTSDiscount($B$33,A57,TRUE,$B$34)</f>
        <v>0.99342683060089054</v>
      </c>
      <c r="D57" s="4">
        <f t="shared" si="0"/>
        <v>0</v>
      </c>
      <c r="E57" s="4">
        <f t="shared" si="1"/>
        <v>0</v>
      </c>
    </row>
    <row r="58" spans="1:5" x14ac:dyDescent="0.3">
      <c r="A58" s="1">
        <f>DATE(2030,1,2)</f>
        <v>47485</v>
      </c>
      <c r="B58" s="3">
        <v>0.98622212276816112</v>
      </c>
      <c r="C58" s="3">
        <f>_xll.qlYieldTSDiscount($B$33,A58,TRUE,$B$34)</f>
        <v>0.9862221227681609</v>
      </c>
      <c r="D58" s="4">
        <f t="shared" si="0"/>
        <v>0</v>
      </c>
      <c r="E58" s="4">
        <f t="shared" si="1"/>
        <v>0</v>
      </c>
    </row>
    <row r="59" spans="1:5" x14ac:dyDescent="0.3">
      <c r="A59" s="1">
        <f>DATE(2032,1,2)</f>
        <v>48215</v>
      </c>
      <c r="B59" s="3">
        <v>0.96909951378340253</v>
      </c>
      <c r="C59" s="3">
        <f>_xll.qlYieldTSDiscount($B$33,A59,TRUE,$B$34)</f>
        <v>0.96909951378340231</v>
      </c>
      <c r="D59" s="4">
        <f t="shared" si="0"/>
        <v>0</v>
      </c>
      <c r="E59" s="4">
        <f t="shared" si="1"/>
        <v>0</v>
      </c>
    </row>
    <row r="60" spans="1:5" x14ac:dyDescent="0.3">
      <c r="A60" s="1">
        <f>DATE(2035,1,2)</f>
        <v>49311</v>
      </c>
      <c r="B60" s="3">
        <v>0.93953091968792812</v>
      </c>
      <c r="C60" s="3">
        <f>_xll.qlYieldTSDiscount($B$33,A60,TRUE,$B$34)</f>
        <v>0.93953091968792779</v>
      </c>
      <c r="D60" s="4">
        <f t="shared" si="0"/>
        <v>0</v>
      </c>
      <c r="E60" s="4">
        <f t="shared" si="1"/>
        <v>0</v>
      </c>
    </row>
    <row r="61" spans="1:5" x14ac:dyDescent="0.3">
      <c r="A61" s="1">
        <f>DATE(2040,1,2)</f>
        <v>51137</v>
      </c>
      <c r="B61" s="3">
        <v>0.89385925624054663</v>
      </c>
      <c r="C61" s="3">
        <f>_xll.qlYieldTSDiscount($B$33,A61,TRUE,$B$34)</f>
        <v>0.89385925624054641</v>
      </c>
      <c r="D61" s="4">
        <f t="shared" si="0"/>
        <v>0</v>
      </c>
      <c r="E61" s="4">
        <f t="shared" si="1"/>
        <v>0</v>
      </c>
    </row>
    <row r="62" spans="1:5" x14ac:dyDescent="0.3">
      <c r="A62" s="1">
        <f>DATE(2045,1,2)</f>
        <v>52964</v>
      </c>
      <c r="B62" s="3">
        <v>0.8589598248464414</v>
      </c>
      <c r="C62" s="3">
        <f>_xll.qlYieldTSDiscount($B$33,A62,TRUE,$B$34)</f>
        <v>0.85895982484644107</v>
      </c>
      <c r="D62" s="4">
        <f t="shared" si="0"/>
        <v>0</v>
      </c>
      <c r="E62" s="4">
        <f t="shared" si="1"/>
        <v>0</v>
      </c>
    </row>
    <row r="63" spans="1:5" x14ac:dyDescent="0.3">
      <c r="A63" s="1">
        <f>DATE(2050,1,3)</f>
        <v>54791</v>
      </c>
      <c r="B63" s="3">
        <v>0.83394203107613507</v>
      </c>
      <c r="C63" s="3">
        <f>_xll.qlYieldTSDiscount($B$33,A63,TRUE,$B$34)</f>
        <v>0.83394203107613529</v>
      </c>
      <c r="D63" s="4">
        <f t="shared" si="0"/>
        <v>0</v>
      </c>
      <c r="E63" s="4">
        <f t="shared" si="1"/>
        <v>0</v>
      </c>
    </row>
    <row r="65" spans="1:4" x14ac:dyDescent="0.3">
      <c r="A65" t="s">
        <v>265</v>
      </c>
      <c r="D65" s="4">
        <f>MAX(ABS(MIN(D37:D63)),ABS(MAX(D37:D63)))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EB4D-0BC7-441B-9E1A-F35B68755459}">
  <dimension ref="A1:F75"/>
  <sheetViews>
    <sheetView workbookViewId="0"/>
  </sheetViews>
  <sheetFormatPr defaultRowHeight="14.4" x14ac:dyDescent="0.3"/>
  <cols>
    <col min="1" max="1" width="30.77734375" customWidth="1"/>
    <col min="2" max="2" width="44.77734375" customWidth="1"/>
    <col min="3" max="6" width="22.77734375" customWidth="1"/>
  </cols>
  <sheetData>
    <row r="1" spans="1:6" x14ac:dyDescent="0.3">
      <c r="A1" s="2" t="s">
        <v>286</v>
      </c>
    </row>
    <row r="2" spans="1:6" x14ac:dyDescent="0.3">
      <c r="A2" t="s">
        <v>287</v>
      </c>
    </row>
    <row r="3" spans="1:6" x14ac:dyDescent="0.3">
      <c r="A3" t="s">
        <v>283</v>
      </c>
      <c r="B3" t="str">
        <f>CONCATENATE('USD-FedFunds'!$B$32,'USD-LIBOR-3M'!$B$33,'EUR-EURIBOR-3M'!$B$34)</f>
        <v>TRUETRUETRUE</v>
      </c>
    </row>
    <row r="4" spans="1:6" x14ac:dyDescent="0.3">
      <c r="A4" s="2" t="s">
        <v>4</v>
      </c>
      <c r="B4" s="2" t="s">
        <v>247</v>
      </c>
      <c r="C4" s="2" t="s">
        <v>7</v>
      </c>
      <c r="D4" s="2" t="s">
        <v>6</v>
      </c>
      <c r="E4" s="2" t="s">
        <v>250</v>
      </c>
      <c r="F4" s="2" t="s">
        <v>8</v>
      </c>
    </row>
    <row r="5" spans="1:6" x14ac:dyDescent="0.3">
      <c r="A5" t="s">
        <v>284</v>
      </c>
      <c r="B5" t="s">
        <v>106</v>
      </c>
      <c r="C5" t="str">
        <f>MarketData!$E$94</f>
        <v>EUR-IN-USD_FXFWD_RATE_EUR_USD_1W#0000</v>
      </c>
      <c r="D5">
        <f>MarketData!$D$94/10000</f>
        <v>4.5999999999999996E-4</v>
      </c>
      <c r="E5" t="str">
        <f>_xll.qlFxSwapRateHelper("EURINUSD_FXFWD_1W",D5,MarketData!$E$93,"1W",2,"JoinHolidays(TARGET,UnitedStates::Settlement)","Following",FALSE,FALSE,Indexes!$B$5,FALSE,$B$3)</f>
        <v>EURINUSD_FXFWD_1W#0000</v>
      </c>
      <c r="F5" t="str">
        <f>_xll.ohRangeRetrieveError(E5)</f>
        <v/>
      </c>
    </row>
    <row r="6" spans="1:6" x14ac:dyDescent="0.3">
      <c r="A6" t="s">
        <v>284</v>
      </c>
      <c r="B6" t="s">
        <v>107</v>
      </c>
      <c r="C6" t="str">
        <f>MarketData!$E$95</f>
        <v>EUR-IN-USD_FXFWD_RATE_EUR_USD_2W#0000</v>
      </c>
      <c r="D6">
        <f>MarketData!$D$95/10000</f>
        <v>9.369999999999999E-4</v>
      </c>
      <c r="E6" t="str">
        <f>_xll.qlFxSwapRateHelper("EURINUSD_FXFWD_2W",D6,MarketData!$E$93,"2W",2,"JoinHolidays(TARGET,UnitedStates::Settlement)","Following",FALSE,FALSE,Indexes!$B$5,FALSE,$B$3)</f>
        <v>EURINUSD_FXFWD_2W#0000</v>
      </c>
      <c r="F6" t="str">
        <f>_xll.ohRangeRetrieveError(E6)</f>
        <v/>
      </c>
    </row>
    <row r="7" spans="1:6" x14ac:dyDescent="0.3">
      <c r="A7" t="s">
        <v>284</v>
      </c>
      <c r="B7" t="s">
        <v>108</v>
      </c>
      <c r="C7" t="str">
        <f>MarketData!$E$96</f>
        <v>EUR-IN-USD_FXFWD_RATE_EUR_USD_3W#0000</v>
      </c>
      <c r="D7">
        <f>MarketData!$D$96/10000</f>
        <v>1.4109999999999999E-3</v>
      </c>
      <c r="E7" t="str">
        <f>_xll.qlFxSwapRateHelper("EURINUSD_FXFWD_3W",D7,MarketData!$E$93,"3W",2,"JoinHolidays(TARGET,UnitedStates::Settlement)","Following",FALSE,FALSE,Indexes!$B$5,FALSE,$B$3)</f>
        <v>EURINUSD_FXFWD_3W#0000</v>
      </c>
      <c r="F7" t="str">
        <f>_xll.ohRangeRetrieveError(E7)</f>
        <v/>
      </c>
    </row>
    <row r="8" spans="1:6" x14ac:dyDescent="0.3">
      <c r="A8" t="s">
        <v>284</v>
      </c>
      <c r="B8" t="s">
        <v>109</v>
      </c>
      <c r="C8" t="str">
        <f>MarketData!$E$97</f>
        <v>EUR-IN-USD_FXFWD_RATE_EUR_USD_1M#0000</v>
      </c>
      <c r="D8">
        <f>MarketData!$D$97/10000</f>
        <v>2.1969999999999997E-3</v>
      </c>
      <c r="E8" t="str">
        <f>_xll.qlFxSwapRateHelper("EURINUSD_FXFWD_1M",D8,MarketData!$E$93,"1M",2,"JoinHolidays(TARGET,UnitedStates::Settlement)","Following",FALSE,FALSE,Indexes!$B$5,FALSE,$B$3)</f>
        <v>EURINUSD_FXFWD_1M#0000</v>
      </c>
      <c r="F8" t="str">
        <f>_xll.ohRangeRetrieveError(E8)</f>
        <v/>
      </c>
    </row>
    <row r="9" spans="1:6" x14ac:dyDescent="0.3">
      <c r="A9" t="s">
        <v>284</v>
      </c>
      <c r="B9" t="s">
        <v>110</v>
      </c>
      <c r="C9" t="str">
        <f>MarketData!$E$98</f>
        <v>EUR-IN-USD_FXFWD_RATE_EUR_USD_2M#0000</v>
      </c>
      <c r="D9">
        <f>MarketData!$D$98/10000</f>
        <v>4.1320000000000003E-3</v>
      </c>
      <c r="E9" t="str">
        <f>_xll.qlFxSwapRateHelper("EURINUSD_FXFWD_2M",D9,MarketData!$E$93,"2M",2,"JoinHolidays(TARGET,UnitedStates::Settlement)","Following",FALSE,FALSE,Indexes!$B$5,FALSE,$B$3)</f>
        <v>EURINUSD_FXFWD_2M#0000</v>
      </c>
      <c r="F9" t="str">
        <f>_xll.ohRangeRetrieveError(E9)</f>
        <v/>
      </c>
    </row>
    <row r="10" spans="1:6" x14ac:dyDescent="0.3">
      <c r="A10" t="s">
        <v>284</v>
      </c>
      <c r="B10" t="s">
        <v>111</v>
      </c>
      <c r="C10" t="str">
        <f>MarketData!$E$99</f>
        <v>EUR-IN-USD_FXFWD_RATE_EUR_USD_3M#0000</v>
      </c>
      <c r="D10">
        <f>MarketData!$D$99/10000</f>
        <v>6.3299999999999997E-3</v>
      </c>
      <c r="E10" t="str">
        <f>_xll.qlFxSwapRateHelper("EURINUSD_FXFWD_3M",D10,MarketData!$E$93,"3M",2,"JoinHolidays(TARGET,UnitedStates::Settlement)","Following",FALSE,FALSE,Indexes!$B$5,FALSE,$B$3)</f>
        <v>EURINUSD_FXFWD_3M#0000</v>
      </c>
      <c r="F10" t="str">
        <f>_xll.ohRangeRetrieveError(E10)</f>
        <v/>
      </c>
    </row>
    <row r="11" spans="1:6" x14ac:dyDescent="0.3">
      <c r="A11" t="s">
        <v>284</v>
      </c>
      <c r="B11" t="s">
        <v>112</v>
      </c>
      <c r="C11" t="str">
        <f>MarketData!$E$100</f>
        <v>EUR-IN-USD_FXFWD_RATE_EUR_USD_4M#0000</v>
      </c>
      <c r="D11">
        <f>MarketData!$D$100/10000</f>
        <v>8.5450000000000005E-3</v>
      </c>
      <c r="E11" t="str">
        <f>_xll.qlFxSwapRateHelper("EURINUSD_FXFWD_4M",D11,MarketData!$E$93,"4M",2,"JoinHolidays(TARGET,UnitedStates::Settlement)","Following",FALSE,FALSE,Indexes!$B$5,FALSE,$B$3)</f>
        <v>EURINUSD_FXFWD_4M#0000</v>
      </c>
      <c r="F11" t="str">
        <f>_xll.ohRangeRetrieveError(E11)</f>
        <v/>
      </c>
    </row>
    <row r="12" spans="1:6" x14ac:dyDescent="0.3">
      <c r="A12" t="s">
        <v>284</v>
      </c>
      <c r="B12" t="s">
        <v>113</v>
      </c>
      <c r="C12" t="str">
        <f>MarketData!$E$101</f>
        <v>EUR-IN-USD_FXFWD_RATE_EUR_USD_5M#0000</v>
      </c>
      <c r="D12">
        <f>MarketData!$D$101/10000</f>
        <v>1.0612999999999999E-2</v>
      </c>
      <c r="E12" t="str">
        <f>_xll.qlFxSwapRateHelper("EURINUSD_FXFWD_5M",D12,MarketData!$E$93,"5M",2,"JoinHolidays(TARGET,UnitedStates::Settlement)","Following",FALSE,FALSE,Indexes!$B$5,FALSE,$B$3)</f>
        <v>EURINUSD_FXFWD_5M#0000</v>
      </c>
      <c r="F12" t="str">
        <f>_xll.ohRangeRetrieveError(E12)</f>
        <v/>
      </c>
    </row>
    <row r="13" spans="1:6" x14ac:dyDescent="0.3">
      <c r="A13" t="s">
        <v>284</v>
      </c>
      <c r="B13" t="s">
        <v>114</v>
      </c>
      <c r="C13" t="str">
        <f>MarketData!$E$102</f>
        <v>EUR-IN-USD_FXFWD_RATE_EUR_USD_6M#0000</v>
      </c>
      <c r="D13">
        <f>MarketData!$D$102/10000</f>
        <v>1.2572E-2</v>
      </c>
      <c r="E13" t="str">
        <f>_xll.qlFxSwapRateHelper("EURINUSD_FXFWD_6M",D13,MarketData!$E$93,"6M",2,"JoinHolidays(TARGET,UnitedStates::Settlement)","Following",FALSE,FALSE,Indexes!$B$5,FALSE,$B$3)</f>
        <v>EURINUSD_FXFWD_6M#0000</v>
      </c>
      <c r="F13" t="str">
        <f>_xll.ohRangeRetrieveError(E13)</f>
        <v/>
      </c>
    </row>
    <row r="14" spans="1:6" x14ac:dyDescent="0.3">
      <c r="A14" t="s">
        <v>284</v>
      </c>
      <c r="B14" t="s">
        <v>115</v>
      </c>
      <c r="C14" t="str">
        <f>MarketData!$E$103</f>
        <v>EUR-IN-USD_FXFWD_RATE_EUR_USD_7M#0000</v>
      </c>
      <c r="D14">
        <f>MarketData!$D$103/10000</f>
        <v>1.4805E-2</v>
      </c>
      <c r="E14" t="str">
        <f>_xll.qlFxSwapRateHelper("EURINUSD_FXFWD_7M",D14,MarketData!$E$93,"7M",2,"JoinHolidays(TARGET,UnitedStates::Settlement)","Following",FALSE,FALSE,Indexes!$B$5,FALSE,$B$3)</f>
        <v>EURINUSD_FXFWD_7M#0000</v>
      </c>
      <c r="F14" t="str">
        <f>_xll.ohRangeRetrieveError(E14)</f>
        <v/>
      </c>
    </row>
    <row r="15" spans="1:6" x14ac:dyDescent="0.3">
      <c r="A15" t="s">
        <v>284</v>
      </c>
      <c r="B15" t="s">
        <v>116</v>
      </c>
      <c r="C15" t="str">
        <f>MarketData!$E$104</f>
        <v>EUR-IN-USD_FXFWD_RATE_EUR_USD_8M#0000</v>
      </c>
      <c r="D15">
        <f>MarketData!$D$104/10000</f>
        <v>1.6898E-2</v>
      </c>
      <c r="E15" t="str">
        <f>_xll.qlFxSwapRateHelper("EURINUSD_FXFWD_8M",D15,MarketData!$E$93,"8M",2,"JoinHolidays(TARGET,UnitedStates::Settlement)","Following",FALSE,FALSE,Indexes!$B$5,FALSE,$B$3)</f>
        <v>EURINUSD_FXFWD_8M#0000</v>
      </c>
      <c r="F15" t="str">
        <f>_xll.ohRangeRetrieveError(E15)</f>
        <v/>
      </c>
    </row>
    <row r="16" spans="1:6" x14ac:dyDescent="0.3">
      <c r="A16" t="s">
        <v>284</v>
      </c>
      <c r="B16" t="s">
        <v>117</v>
      </c>
      <c r="C16" t="str">
        <f>MarketData!$E$105</f>
        <v>EUR-IN-USD_FXFWD_RATE_EUR_USD_9M#0000</v>
      </c>
      <c r="D16">
        <f>MarketData!$D$105/10000</f>
        <v>1.8774000000000002E-2</v>
      </c>
      <c r="E16" t="str">
        <f>_xll.qlFxSwapRateHelper("EURINUSD_FXFWD_9M",D16,MarketData!$E$93,"9M",2,"JoinHolidays(TARGET,UnitedStates::Settlement)","Following",FALSE,FALSE,Indexes!$B$5,FALSE,$B$3)</f>
        <v>EURINUSD_FXFWD_9M#0000</v>
      </c>
      <c r="F16" t="str">
        <f>_xll.ohRangeRetrieveError(E16)</f>
        <v/>
      </c>
    </row>
    <row r="17" spans="1:6" x14ac:dyDescent="0.3">
      <c r="A17" t="s">
        <v>284</v>
      </c>
      <c r="B17" t="s">
        <v>118</v>
      </c>
      <c r="C17" t="str">
        <f>MarketData!$E$106</f>
        <v>EUR-IN-USD_FXFWD_RATE_EUR_USD_10M#0000</v>
      </c>
      <c r="D17">
        <f>MarketData!$D$106/10000</f>
        <v>2.0990000000000002E-2</v>
      </c>
      <c r="E17" t="str">
        <f>_xll.qlFxSwapRateHelper("EURINUSD_FXFWD_10M",D17,MarketData!$E$93,"10M",2,"JoinHolidays(TARGET,UnitedStates::Settlement)","Following",FALSE,FALSE,Indexes!$B$5,FALSE,$B$3)</f>
        <v>EURINUSD_FXFWD_10M#0000</v>
      </c>
      <c r="F17" t="str">
        <f>_xll.ohRangeRetrieveError(E17)</f>
        <v/>
      </c>
    </row>
    <row r="18" spans="1:6" x14ac:dyDescent="0.3">
      <c r="A18" t="s">
        <v>284</v>
      </c>
      <c r="B18" t="s">
        <v>119</v>
      </c>
      <c r="C18" t="str">
        <f>MarketData!$E$107</f>
        <v>EUR-IN-USD_FXFWD_RATE_EUR_USD_11M#0000</v>
      </c>
      <c r="D18">
        <f>MarketData!$D$107/10000</f>
        <v>2.3089999999999999E-2</v>
      </c>
      <c r="E18" t="str">
        <f>_xll.qlFxSwapRateHelper("EURINUSD_FXFWD_11M",D18,MarketData!$E$93,"11M",2,"JoinHolidays(TARGET,UnitedStates::Settlement)","Following",FALSE,FALSE,Indexes!$B$5,FALSE,$B$3)</f>
        <v>EURINUSD_FXFWD_11M#0000</v>
      </c>
      <c r="F18" t="str">
        <f>_xll.ohRangeRetrieveError(E18)</f>
        <v/>
      </c>
    </row>
    <row r="19" spans="1:6" x14ac:dyDescent="0.3">
      <c r="A19" t="s">
        <v>284</v>
      </c>
      <c r="B19" t="s">
        <v>120</v>
      </c>
      <c r="C19" t="str">
        <f>MarketData!$E$108</f>
        <v>EUR-IN-USD_FXFWD_RATE_EUR_USD_1Y#0000</v>
      </c>
      <c r="D19">
        <f>MarketData!$D$108/10000</f>
        <v>2.5281999999999999E-2</v>
      </c>
      <c r="E19" t="str">
        <f>_xll.qlFxSwapRateHelper("EURINUSD_FXFWD_1Y",D19,MarketData!$E$93,"1Y",2,"JoinHolidays(TARGET,UnitedStates::Settlement)","Following",FALSE,FALSE,Indexes!$B$5,FALSE,$B$3)</f>
        <v>EURINUSD_FXFWD_1Y#0000</v>
      </c>
      <c r="F19" t="str">
        <f>_xll.ohRangeRetrieveError(E19)</f>
        <v/>
      </c>
    </row>
    <row r="20" spans="1:6" x14ac:dyDescent="0.3">
      <c r="A20" t="s">
        <v>284</v>
      </c>
      <c r="B20" t="s">
        <v>121</v>
      </c>
      <c r="C20" t="str">
        <f>MarketData!$E$109</f>
        <v>EUR-IN-USD_FXFWD_RATE_EUR_USD_15M#0000</v>
      </c>
      <c r="D20">
        <f>MarketData!$D$109/10000</f>
        <v>3.1229000000000003E-2</v>
      </c>
      <c r="E20" t="str">
        <f>_xll.qlFxSwapRateHelper("EURINUSD_FXFWD_15M",D20,MarketData!$E$93,"15M",2,"JoinHolidays(TARGET,UnitedStates::Settlement)","Following",FALSE,FALSE,Indexes!$B$5,FALSE,$B$3)</f>
        <v>EURINUSD_FXFWD_15M#0000</v>
      </c>
      <c r="F20" t="str">
        <f>_xll.ohRangeRetrieveError(E20)</f>
        <v/>
      </c>
    </row>
    <row r="21" spans="1:6" x14ac:dyDescent="0.3">
      <c r="A21" t="s">
        <v>284</v>
      </c>
      <c r="B21" t="s">
        <v>122</v>
      </c>
      <c r="C21" t="str">
        <f>MarketData!$E$110</f>
        <v>EUR-IN-USD_FXFWD_RATE_EUR_USD_18M#0000</v>
      </c>
      <c r="D21">
        <f>MarketData!$D$110/10000</f>
        <v>3.6686999999999997E-2</v>
      </c>
      <c r="E21" t="str">
        <f>_xll.qlFxSwapRateHelper("EURINUSD_FXFWD_18M",D21,MarketData!$E$93,"18M",2,"JoinHolidays(TARGET,UnitedStates::Settlement)","Following",FALSE,FALSE,Indexes!$B$5,FALSE,$B$3)</f>
        <v>EURINUSD_FXFWD_18M#0000</v>
      </c>
      <c r="F21" t="str">
        <f>_xll.ohRangeRetrieveError(E21)</f>
        <v/>
      </c>
    </row>
    <row r="22" spans="1:6" x14ac:dyDescent="0.3">
      <c r="A22" t="s">
        <v>284</v>
      </c>
      <c r="B22" t="s">
        <v>123</v>
      </c>
      <c r="C22" t="str">
        <f>MarketData!$E$111</f>
        <v>EUR-IN-USD_FXFWD_RATE_EUR_USD_21M#0000</v>
      </c>
      <c r="D22">
        <f>MarketData!$D$111/10000</f>
        <v>4.2730000000000004E-2</v>
      </c>
      <c r="E22" t="str">
        <f>_xll.qlFxSwapRateHelper("EURINUSD_FXFWD_21M",D22,MarketData!$E$93,"21M",2,"JoinHolidays(TARGET,UnitedStates::Settlement)","Following",FALSE,FALSE,Indexes!$B$5,FALSE,$B$3)</f>
        <v>EURINUSD_FXFWD_21M#0000</v>
      </c>
      <c r="F22" t="str">
        <f>_xll.ohRangeRetrieveError(E22)</f>
        <v/>
      </c>
    </row>
    <row r="23" spans="1:6" x14ac:dyDescent="0.3">
      <c r="A23" t="s">
        <v>288</v>
      </c>
      <c r="B23" t="s">
        <v>125</v>
      </c>
      <c r="C23" t="str">
        <f>MarketData!$E$112</f>
        <v>EUR-IN-USD_CC_BASIS_SWAP_BASIS_SPREAD_USD_3M_EUR_3M_2Y#0000</v>
      </c>
      <c r="D23">
        <f>MarketData!$D$112</f>
        <v>-1.325E-3</v>
      </c>
      <c r="E23" t="str">
        <f>_xll.qlCrossCcyBasisSwapHelper("EURINUSD_XCCY_2Y",C23,MarketData!$E$93,2,"JoinHolidays(TARGET,UnitedStates::Settlement,UnitedKingdom::Settlement)","2Y","Modified Following",Indexes!$B$16,Indexes!$B$18,Indexes!$B$5,,FALSE,TRUE,2,"JoinHolidays(TARGET,UnitedStates::Settlement)",TRUE,FALSE,$B$3)</f>
        <v>EURINUSD_XCCY_2Y#0000</v>
      </c>
      <c r="F23" t="str">
        <f>_xll.ohRangeRetrieveError(E23)</f>
        <v/>
      </c>
    </row>
    <row r="24" spans="1:6" x14ac:dyDescent="0.3">
      <c r="A24" t="s">
        <v>288</v>
      </c>
      <c r="B24" t="s">
        <v>126</v>
      </c>
      <c r="C24" t="str">
        <f>MarketData!$E$113</f>
        <v>EUR-IN-USD_CC_BASIS_SWAP_BASIS_SPREAD_USD_3M_EUR_3M_3Y#0000</v>
      </c>
      <c r="D24">
        <f>MarketData!$D$113</f>
        <v>-1.4499999999999999E-3</v>
      </c>
      <c r="E24" t="str">
        <f>_xll.qlCrossCcyBasisSwapHelper("EURINUSD_XCCY_3Y",C24,MarketData!$E$93,2,"JoinHolidays(TARGET,UnitedStates::Settlement,UnitedKingdom::Settlement)","3Y","Modified Following",Indexes!$B$16,Indexes!$B$18,Indexes!$B$5,,FALSE,TRUE,2,"JoinHolidays(TARGET,UnitedStates::Settlement)",TRUE,FALSE,$B$3)</f>
        <v>EURINUSD_XCCY_3Y#0000</v>
      </c>
      <c r="F24" t="str">
        <f>_xll.ohRangeRetrieveError(E24)</f>
        <v/>
      </c>
    </row>
    <row r="25" spans="1:6" x14ac:dyDescent="0.3">
      <c r="A25" t="s">
        <v>288</v>
      </c>
      <c r="B25" t="s">
        <v>127</v>
      </c>
      <c r="C25" t="str">
        <f>MarketData!$E$114</f>
        <v>EUR-IN-USD_CC_BASIS_SWAP_BASIS_SPREAD_USD_3M_EUR_3M_4Y#0000</v>
      </c>
      <c r="D25">
        <f>MarketData!$D$114</f>
        <v>-1.5375E-3</v>
      </c>
      <c r="E25" t="str">
        <f>_xll.qlCrossCcyBasisSwapHelper("EURINUSD_XCCY_4Y",C25,MarketData!$E$93,2,"JoinHolidays(TARGET,UnitedStates::Settlement,UnitedKingdom::Settlement)","4Y","Modified Following",Indexes!$B$16,Indexes!$B$18,Indexes!$B$5,,FALSE,TRUE,2,"JoinHolidays(TARGET,UnitedStates::Settlement)",TRUE,FALSE,$B$3)</f>
        <v>EURINUSD_XCCY_4Y#0000</v>
      </c>
      <c r="F25" t="str">
        <f>_xll.ohRangeRetrieveError(E25)</f>
        <v/>
      </c>
    </row>
    <row r="26" spans="1:6" x14ac:dyDescent="0.3">
      <c r="A26" t="s">
        <v>288</v>
      </c>
      <c r="B26" t="s">
        <v>128</v>
      </c>
      <c r="C26" t="str">
        <f>MarketData!$E$115</f>
        <v>EUR-IN-USD_CC_BASIS_SWAP_BASIS_SPREAD_USD_3M_EUR_3M_5Y#0000</v>
      </c>
      <c r="D26">
        <f>MarketData!$D$115</f>
        <v>-1.6000000000000001E-3</v>
      </c>
      <c r="E26" t="str">
        <f>_xll.qlCrossCcyBasisSwapHelper("EURINUSD_XCCY_5Y",C26,MarketData!$E$93,2,"JoinHolidays(TARGET,UnitedStates::Settlement,UnitedKingdom::Settlement)","5Y","Modified Following",Indexes!$B$16,Indexes!$B$18,Indexes!$B$5,,FALSE,TRUE,2,"JoinHolidays(TARGET,UnitedStates::Settlement)",TRUE,FALSE,$B$3)</f>
        <v>EURINUSD_XCCY_5Y#0000</v>
      </c>
      <c r="F26" t="str">
        <f>_xll.ohRangeRetrieveError(E26)</f>
        <v/>
      </c>
    </row>
    <row r="27" spans="1:6" x14ac:dyDescent="0.3">
      <c r="A27" t="s">
        <v>288</v>
      </c>
      <c r="B27" t="s">
        <v>129</v>
      </c>
      <c r="C27" t="str">
        <f>MarketData!$E$116</f>
        <v>EUR-IN-USD_CC_BASIS_SWAP_BASIS_SPREAD_USD_3M_EUR_3M_6Y#0000</v>
      </c>
      <c r="D27">
        <f>MarketData!$D$116</f>
        <v>-1.65E-3</v>
      </c>
      <c r="E27" t="str">
        <f>_xll.qlCrossCcyBasisSwapHelper("EURINUSD_XCCY_6Y",C27,MarketData!$E$93,2,"JoinHolidays(TARGET,UnitedStates::Settlement,UnitedKingdom::Settlement)","6Y","Modified Following",Indexes!$B$16,Indexes!$B$18,Indexes!$B$5,,FALSE,TRUE,2,"JoinHolidays(TARGET,UnitedStates::Settlement)",TRUE,FALSE,$B$3)</f>
        <v>EURINUSD_XCCY_6Y#0000</v>
      </c>
      <c r="F27" t="str">
        <f>_xll.ohRangeRetrieveError(E27)</f>
        <v/>
      </c>
    </row>
    <row r="28" spans="1:6" x14ac:dyDescent="0.3">
      <c r="A28" t="s">
        <v>288</v>
      </c>
      <c r="B28" t="s">
        <v>130</v>
      </c>
      <c r="C28" t="str">
        <f>MarketData!$E$117</f>
        <v>EUR-IN-USD_CC_BASIS_SWAP_BASIS_SPREAD_USD_3M_EUR_3M_7Y#0000</v>
      </c>
      <c r="D28">
        <f>MarketData!$D$117</f>
        <v>-1.75E-3</v>
      </c>
      <c r="E28" t="str">
        <f>_xll.qlCrossCcyBasisSwapHelper("EURINUSD_XCCY_7Y",C28,MarketData!$E$93,2,"JoinHolidays(TARGET,UnitedStates::Settlement,UnitedKingdom::Settlement)","7Y","Modified Following",Indexes!$B$16,Indexes!$B$18,Indexes!$B$5,,FALSE,TRUE,2,"JoinHolidays(TARGET,UnitedStates::Settlement)",TRUE,FALSE,$B$3)</f>
        <v>EURINUSD_XCCY_7Y#0000</v>
      </c>
      <c r="F28" t="str">
        <f>_xll.ohRangeRetrieveError(E28)</f>
        <v/>
      </c>
    </row>
    <row r="29" spans="1:6" x14ac:dyDescent="0.3">
      <c r="A29" t="s">
        <v>288</v>
      </c>
      <c r="B29" t="s">
        <v>131</v>
      </c>
      <c r="C29" t="str">
        <f>MarketData!$E$118</f>
        <v>EUR-IN-USD_CC_BASIS_SWAP_BASIS_SPREAD_USD_3M_EUR_3M_8Y#0000</v>
      </c>
      <c r="D29">
        <f>MarketData!$D$118</f>
        <v>-1.7875E-3</v>
      </c>
      <c r="E29" t="str">
        <f>_xll.qlCrossCcyBasisSwapHelper("EURINUSD_XCCY_8Y",C29,MarketData!$E$93,2,"JoinHolidays(TARGET,UnitedStates::Settlement,UnitedKingdom::Settlement)","8Y","Modified Following",Indexes!$B$16,Indexes!$B$18,Indexes!$B$5,,FALSE,TRUE,2,"JoinHolidays(TARGET,UnitedStates::Settlement)",TRUE,FALSE,$B$3)</f>
        <v>EURINUSD_XCCY_8Y#0000</v>
      </c>
      <c r="F29" t="str">
        <f>_xll.ohRangeRetrieveError(E29)</f>
        <v/>
      </c>
    </row>
    <row r="30" spans="1:6" x14ac:dyDescent="0.3">
      <c r="A30" t="s">
        <v>288</v>
      </c>
      <c r="B30" t="s">
        <v>132</v>
      </c>
      <c r="C30" t="str">
        <f>MarketData!$E$119</f>
        <v>EUR-IN-USD_CC_BASIS_SWAP_BASIS_SPREAD_USD_3M_EUR_3M_9Y#0000</v>
      </c>
      <c r="D30">
        <f>MarketData!$D$119</f>
        <v>-1.825E-3</v>
      </c>
      <c r="E30" t="str">
        <f>_xll.qlCrossCcyBasisSwapHelper("EURINUSD_XCCY_9Y",C30,MarketData!$E$93,2,"JoinHolidays(TARGET,UnitedStates::Settlement,UnitedKingdom::Settlement)","9Y","Modified Following",Indexes!$B$16,Indexes!$B$18,Indexes!$B$5,,FALSE,TRUE,2,"JoinHolidays(TARGET,UnitedStates::Settlement)",TRUE,FALSE,$B$3)</f>
        <v>EURINUSD_XCCY_9Y#0000</v>
      </c>
      <c r="F30" t="str">
        <f>_xll.ohRangeRetrieveError(E30)</f>
        <v/>
      </c>
    </row>
    <row r="31" spans="1:6" x14ac:dyDescent="0.3">
      <c r="A31" t="s">
        <v>288</v>
      </c>
      <c r="B31" t="s">
        <v>133</v>
      </c>
      <c r="C31" t="str">
        <f>MarketData!$E$120</f>
        <v>EUR-IN-USD_CC_BASIS_SWAP_BASIS_SPREAD_USD_3M_EUR_3M_10Y#0000</v>
      </c>
      <c r="D31">
        <f>MarketData!$D$120</f>
        <v>-1.8625E-3</v>
      </c>
      <c r="E31" t="str">
        <f>_xll.qlCrossCcyBasisSwapHelper("EURINUSD_XCCY_10Y",C31,MarketData!$E$93,2,"JoinHolidays(TARGET,UnitedStates::Settlement,UnitedKingdom::Settlement)","10Y","Modified Following",Indexes!$B$16,Indexes!$B$18,Indexes!$B$5,,FALSE,TRUE,2,"JoinHolidays(TARGET,UnitedStates::Settlement)",TRUE,FALSE,$B$3)</f>
        <v>EURINUSD_XCCY_10Y#0000</v>
      </c>
      <c r="F31" t="str">
        <f>_xll.ohRangeRetrieveError(E31)</f>
        <v/>
      </c>
    </row>
    <row r="32" spans="1:6" x14ac:dyDescent="0.3">
      <c r="A32" t="s">
        <v>288</v>
      </c>
      <c r="B32" t="s">
        <v>134</v>
      </c>
      <c r="C32" t="str">
        <f>MarketData!$E$121</f>
        <v>EUR-IN-USD_CC_BASIS_SWAP_BASIS_SPREAD_USD_3M_EUR_3M_12Y#0000</v>
      </c>
      <c r="D32">
        <f>MarketData!$D$121</f>
        <v>-1.8374999999999999E-3</v>
      </c>
      <c r="E32" t="str">
        <f>_xll.qlCrossCcyBasisSwapHelper("EURINUSD_XCCY_12Y",C32,MarketData!$E$93,2,"JoinHolidays(TARGET,UnitedStates::Settlement,UnitedKingdom::Settlement)","12Y","Modified Following",Indexes!$B$16,Indexes!$B$18,Indexes!$B$5,,FALSE,TRUE,2,"JoinHolidays(TARGET,UnitedStates::Settlement)",TRUE,FALSE,$B$3)</f>
        <v>EURINUSD_XCCY_12Y#0000</v>
      </c>
      <c r="F32" t="str">
        <f>_xll.ohRangeRetrieveError(E32)</f>
        <v/>
      </c>
    </row>
    <row r="33" spans="1:6" x14ac:dyDescent="0.3">
      <c r="A33" t="s">
        <v>288</v>
      </c>
      <c r="B33" t="s">
        <v>135</v>
      </c>
      <c r="C33" t="str">
        <f>MarketData!$E$122</f>
        <v>EUR-IN-USD_CC_BASIS_SWAP_BASIS_SPREAD_USD_3M_EUR_3M_15Y#0000</v>
      </c>
      <c r="D33">
        <f>MarketData!$D$122</f>
        <v>-1.6375000000000001E-3</v>
      </c>
      <c r="E33" t="str">
        <f>_xll.qlCrossCcyBasisSwapHelper("EURINUSD_XCCY_15Y",C33,MarketData!$E$93,2,"JoinHolidays(TARGET,UnitedStates::Settlement,UnitedKingdom::Settlement)","15Y","Modified Following",Indexes!$B$16,Indexes!$B$18,Indexes!$B$5,,FALSE,TRUE,2,"JoinHolidays(TARGET,UnitedStates::Settlement)",TRUE,FALSE,$B$3)</f>
        <v>EURINUSD_XCCY_15Y#0000</v>
      </c>
      <c r="F33" t="str">
        <f>_xll.ohRangeRetrieveError(E33)</f>
        <v/>
      </c>
    </row>
    <row r="34" spans="1:6" x14ac:dyDescent="0.3">
      <c r="A34" t="s">
        <v>288</v>
      </c>
      <c r="B34" t="s">
        <v>136</v>
      </c>
      <c r="C34" t="str">
        <f>MarketData!$E$123</f>
        <v>EUR-IN-USD_CC_BASIS_SWAP_BASIS_SPREAD_USD_3M_EUR_3M_20Y#0000</v>
      </c>
      <c r="D34">
        <f>MarketData!$D$123</f>
        <v>-1.15E-3</v>
      </c>
      <c r="E34" t="str">
        <f>_xll.qlCrossCcyBasisSwapHelper("EURINUSD_XCCY_20Y",C34,MarketData!$E$93,2,"JoinHolidays(TARGET,UnitedStates::Settlement,UnitedKingdom::Settlement)","20Y","Modified Following",Indexes!$B$16,Indexes!$B$18,Indexes!$B$5,,FALSE,TRUE,2,"JoinHolidays(TARGET,UnitedStates::Settlement)",TRUE,FALSE,$B$3)</f>
        <v>EURINUSD_XCCY_20Y#0000</v>
      </c>
      <c r="F34" t="str">
        <f>_xll.ohRangeRetrieveError(E34)</f>
        <v/>
      </c>
    </row>
    <row r="35" spans="1:6" x14ac:dyDescent="0.3">
      <c r="A35" t="s">
        <v>288</v>
      </c>
      <c r="B35" t="s">
        <v>137</v>
      </c>
      <c r="C35" t="str">
        <f>MarketData!$E$124</f>
        <v>EUR-IN-USD_CC_BASIS_SWAP_BASIS_SPREAD_USD_3M_EUR_3M_25Y#0000</v>
      </c>
      <c r="D35">
        <f>MarketData!$D$124</f>
        <v>-6.3750000000000005E-4</v>
      </c>
      <c r="E35" t="str">
        <f>_xll.qlCrossCcyBasisSwapHelper("EURINUSD_XCCY_25Y",C35,MarketData!$E$93,2,"JoinHolidays(TARGET,UnitedStates::Settlement,UnitedKingdom::Settlement)","25Y","Modified Following",Indexes!$B$16,Indexes!$B$18,Indexes!$B$5,,FALSE,TRUE,2,"JoinHolidays(TARGET,UnitedStates::Settlement)",TRUE,FALSE,$B$3)</f>
        <v>EURINUSD_XCCY_25Y#0000</v>
      </c>
      <c r="F35" t="str">
        <f>_xll.ohRangeRetrieveError(E35)</f>
        <v/>
      </c>
    </row>
    <row r="36" spans="1:6" x14ac:dyDescent="0.3">
      <c r="A36" t="s">
        <v>288</v>
      </c>
      <c r="B36" t="s">
        <v>138</v>
      </c>
      <c r="C36" t="str">
        <f>MarketData!$E$125</f>
        <v>EUR-IN-USD_CC_BASIS_SWAP_BASIS_SPREAD_USD_3M_EUR_3M_30Y#0000</v>
      </c>
      <c r="D36">
        <f>MarketData!$D$125</f>
        <v>-2.2499999999999999E-4</v>
      </c>
      <c r="E36" t="str">
        <f>_xll.qlCrossCcyBasisSwapHelper("EURINUSD_XCCY_30Y",C36,MarketData!$E$93,2,"JoinHolidays(TARGET,UnitedStates::Settlement,UnitedKingdom::Settlement)","30Y","Modified Following",Indexes!$B$16,Indexes!$B$18,Indexes!$B$5,,FALSE,TRUE,2,"JoinHolidays(TARGET,UnitedStates::Settlement)",TRUE,FALSE,$B$3)</f>
        <v>EURINUSD_XCCY_30Y#0000</v>
      </c>
      <c r="F36" t="str">
        <f>_xll.ohRangeRetrieveError(E36)</f>
        <v/>
      </c>
    </row>
    <row r="38" spans="1:6" x14ac:dyDescent="0.3">
      <c r="A38" t="s">
        <v>3</v>
      </c>
      <c r="B38" t="str">
        <f>_xll.qlPiecewiseYieldCurve("C_EUR-IN-USD",0,"TARGET",E5:E36,"Actual/365 (Fixed)",,,"Discount","LogLinear",FALSE,Indexes!$B$31)</f>
        <v>C_EUR-IN-USD#0000</v>
      </c>
      <c r="C38" t="str">
        <f>_xll.ohRangeRetrieveError(B38)</f>
        <v/>
      </c>
      <c r="D38" t="b">
        <f>_xll.qlExtrapolatorEnableExtrapolation(B38,TRUE)</f>
        <v>1</v>
      </c>
    </row>
    <row r="39" spans="1:6" x14ac:dyDescent="0.3">
      <c r="A39" t="s">
        <v>285</v>
      </c>
      <c r="B39" t="b">
        <f>_xll.qlRelinkableHandleLinkTo(Indexes!$B$11,B38,D38)</f>
        <v>1</v>
      </c>
      <c r="C39" t="str">
        <f>_xll.ohRangeRetrieveError(B39)</f>
        <v/>
      </c>
    </row>
    <row r="41" spans="1:6" x14ac:dyDescent="0.3">
      <c r="A41" s="2" t="s">
        <v>261</v>
      </c>
      <c r="B41" s="2" t="s">
        <v>262</v>
      </c>
      <c r="C41" s="2" t="s">
        <v>263</v>
      </c>
      <c r="D41" s="2" t="s">
        <v>241</v>
      </c>
      <c r="E41" s="2" t="s">
        <v>264</v>
      </c>
    </row>
    <row r="42" spans="1:6" x14ac:dyDescent="0.3">
      <c r="A42" s="1">
        <f>DATE(2020,1,9)</f>
        <v>43839</v>
      </c>
      <c r="B42" s="3">
        <v>1.0001570768772849</v>
      </c>
      <c r="C42" s="3">
        <f>_xll.qlYieldTSDiscount($B$38,A42,TRUE,$B$39)</f>
        <v>1.0001570768772849</v>
      </c>
      <c r="D42" s="4">
        <f t="shared" ref="D42:D73" si="0">C42-B42</f>
        <v>0</v>
      </c>
      <c r="E42" s="4">
        <f t="shared" ref="E42:E73" si="1">D42/B42</f>
        <v>0</v>
      </c>
    </row>
    <row r="43" spans="1:6" x14ac:dyDescent="0.3">
      <c r="A43" s="1">
        <f>DATE(2020,1,16)</f>
        <v>43846</v>
      </c>
      <c r="B43" s="3">
        <v>1.0002812056604695</v>
      </c>
      <c r="C43" s="3">
        <f>_xll.qlYieldTSDiscount($B$38,A43,TRUE,$B$39)</f>
        <v>1.0002812056604695</v>
      </c>
      <c r="D43" s="4">
        <f t="shared" si="0"/>
        <v>0</v>
      </c>
      <c r="E43" s="4">
        <f t="shared" si="1"/>
        <v>0</v>
      </c>
    </row>
    <row r="44" spans="1:6" x14ac:dyDescent="0.3">
      <c r="A44" s="1">
        <f>DATE(2020,1,23)</f>
        <v>43853</v>
      </c>
      <c r="B44" s="3">
        <v>1.0004033410491504</v>
      </c>
      <c r="C44" s="3">
        <f>_xll.qlYieldTSDiscount($B$38,A44,TRUE,$B$39)</f>
        <v>1.0004033410491504</v>
      </c>
      <c r="D44" s="4">
        <f t="shared" si="0"/>
        <v>0</v>
      </c>
      <c r="E44" s="4">
        <f t="shared" si="1"/>
        <v>0</v>
      </c>
    </row>
    <row r="45" spans="1:6" x14ac:dyDescent="0.3">
      <c r="A45" s="1">
        <f>DATE(2020,2,3)</f>
        <v>43864</v>
      </c>
      <c r="B45" s="3">
        <v>1.000627328998926</v>
      </c>
      <c r="C45" s="3">
        <f>_xll.qlYieldTSDiscount($B$38,A45,TRUE,$B$39)</f>
        <v>1.000627328998926</v>
      </c>
      <c r="D45" s="4">
        <f t="shared" si="0"/>
        <v>0</v>
      </c>
      <c r="E45" s="4">
        <f t="shared" si="1"/>
        <v>0</v>
      </c>
    </row>
    <row r="46" spans="1:6" x14ac:dyDescent="0.3">
      <c r="A46" s="1">
        <f>DATE(2020,3,2)</f>
        <v>43892</v>
      </c>
      <c r="B46" s="3">
        <v>1.0011327962150818</v>
      </c>
      <c r="C46" s="3">
        <f>_xll.qlYieldTSDiscount($B$38,A46,TRUE,$B$39)</f>
        <v>1.0011327962150818</v>
      </c>
      <c r="D46" s="4">
        <f t="shared" si="0"/>
        <v>0</v>
      </c>
      <c r="E46" s="4">
        <f t="shared" si="1"/>
        <v>0</v>
      </c>
    </row>
    <row r="47" spans="1:6" x14ac:dyDescent="0.3">
      <c r="A47" s="1">
        <f>DATE(2020,4,2)</f>
        <v>43923</v>
      </c>
      <c r="B47" s="3">
        <v>1.0017456618489213</v>
      </c>
      <c r="C47" s="3">
        <f>_xll.qlYieldTSDiscount($B$38,A47,TRUE,$B$39)</f>
        <v>1.0017456618489213</v>
      </c>
      <c r="D47" s="4">
        <f t="shared" si="0"/>
        <v>0</v>
      </c>
      <c r="E47" s="4">
        <f t="shared" si="1"/>
        <v>0</v>
      </c>
    </row>
    <row r="48" spans="1:6" x14ac:dyDescent="0.3">
      <c r="A48" s="1">
        <f>DATE(2020,5,4)</f>
        <v>43955</v>
      </c>
      <c r="B48" s="3">
        <v>1.0023372229504914</v>
      </c>
      <c r="C48" s="3">
        <f>_xll.qlYieldTSDiscount($B$38,A48,TRUE,$B$39)</f>
        <v>1.0023372229504914</v>
      </c>
      <c r="D48" s="4">
        <f t="shared" si="0"/>
        <v>0</v>
      </c>
      <c r="E48" s="4">
        <f t="shared" si="1"/>
        <v>0</v>
      </c>
    </row>
    <row r="49" spans="1:5" x14ac:dyDescent="0.3">
      <c r="A49" s="1">
        <f>DATE(2020,6,2)</f>
        <v>43984</v>
      </c>
      <c r="B49" s="3">
        <v>1.0029327201553362</v>
      </c>
      <c r="C49" s="3">
        <f>_xll.qlYieldTSDiscount($B$38,A49,TRUE,$B$39)</f>
        <v>1.0029327201553362</v>
      </c>
      <c r="D49" s="4">
        <f t="shared" si="0"/>
        <v>0</v>
      </c>
      <c r="E49" s="4">
        <f t="shared" si="1"/>
        <v>0</v>
      </c>
    </row>
    <row r="50" spans="1:5" x14ac:dyDescent="0.3">
      <c r="A50" s="1">
        <f>DATE(2020,7,2)</f>
        <v>44014</v>
      </c>
      <c r="B50" s="3">
        <v>1.0034017531859054</v>
      </c>
      <c r="C50" s="3">
        <f>_xll.qlYieldTSDiscount($B$38,A50,TRUE,$B$39)</f>
        <v>1.0034017531859054</v>
      </c>
      <c r="D50" s="4">
        <f t="shared" si="0"/>
        <v>0</v>
      </c>
      <c r="E50" s="4">
        <f t="shared" si="1"/>
        <v>0</v>
      </c>
    </row>
    <row r="51" spans="1:5" x14ac:dyDescent="0.3">
      <c r="A51" s="1">
        <f>DATE(2020,8,3)</f>
        <v>44046</v>
      </c>
      <c r="B51" s="3">
        <v>1.0040398392246663</v>
      </c>
      <c r="C51" s="3">
        <f>_xll.qlYieldTSDiscount($B$38,A51,TRUE,$B$39)</f>
        <v>1.0040398392246663</v>
      </c>
      <c r="D51" s="4">
        <f t="shared" si="0"/>
        <v>0</v>
      </c>
      <c r="E51" s="4">
        <f t="shared" si="1"/>
        <v>0</v>
      </c>
    </row>
    <row r="52" spans="1:5" x14ac:dyDescent="0.3">
      <c r="A52" s="1">
        <f>DATE(2020,9,2)</f>
        <v>44076</v>
      </c>
      <c r="B52" s="3">
        <v>1.004656426565546</v>
      </c>
      <c r="C52" s="3">
        <f>_xll.qlYieldTSDiscount($B$38,A52,TRUE,$B$39)</f>
        <v>1.004656426565546</v>
      </c>
      <c r="D52" s="4">
        <f t="shared" si="0"/>
        <v>0</v>
      </c>
      <c r="E52" s="4">
        <f t="shared" si="1"/>
        <v>0</v>
      </c>
    </row>
    <row r="53" spans="1:5" x14ac:dyDescent="0.3">
      <c r="A53" s="1">
        <f>DATE(2020,10,2)</f>
        <v>44106</v>
      </c>
      <c r="B53" s="3">
        <v>1.0050915513567709</v>
      </c>
      <c r="C53" s="3">
        <f>_xll.qlYieldTSDiscount($B$38,A53,TRUE,$B$39)</f>
        <v>1.0050915513567709</v>
      </c>
      <c r="D53" s="4">
        <f t="shared" si="0"/>
        <v>0</v>
      </c>
      <c r="E53" s="4">
        <f t="shared" si="1"/>
        <v>0</v>
      </c>
    </row>
    <row r="54" spans="1:5" x14ac:dyDescent="0.3">
      <c r="A54" s="1">
        <f>DATE(2020,11,2)</f>
        <v>44137</v>
      </c>
      <c r="B54" s="3">
        <v>1.0058016169049575</v>
      </c>
      <c r="C54" s="3">
        <f>_xll.qlYieldTSDiscount($B$38,A54,TRUE,$B$39)</f>
        <v>1.0058016169049575</v>
      </c>
      <c r="D54" s="4">
        <f t="shared" si="0"/>
        <v>0</v>
      </c>
      <c r="E54" s="4">
        <f t="shared" si="1"/>
        <v>0</v>
      </c>
    </row>
    <row r="55" spans="1:5" x14ac:dyDescent="0.3">
      <c r="A55" s="1">
        <f>DATE(2020,12,2)</f>
        <v>44167</v>
      </c>
      <c r="B55" s="3">
        <v>1.006470313666769</v>
      </c>
      <c r="C55" s="3">
        <f>_xll.qlYieldTSDiscount($B$38,A55,TRUE,$B$39)</f>
        <v>1.006470313666769</v>
      </c>
      <c r="D55" s="4">
        <f t="shared" si="0"/>
        <v>0</v>
      </c>
      <c r="E55" s="4">
        <f t="shared" si="1"/>
        <v>0</v>
      </c>
    </row>
    <row r="56" spans="1:5" x14ac:dyDescent="0.3">
      <c r="A56" s="1">
        <f>DATE(2021,1,4)</f>
        <v>44200</v>
      </c>
      <c r="B56" s="3">
        <v>1.0071090117347141</v>
      </c>
      <c r="C56" s="3">
        <f>_xll.qlYieldTSDiscount($B$38,A56,TRUE,$B$39)</f>
        <v>1.0071090117347141</v>
      </c>
      <c r="D56" s="4">
        <f t="shared" si="0"/>
        <v>0</v>
      </c>
      <c r="E56" s="4">
        <f t="shared" si="1"/>
        <v>0</v>
      </c>
    </row>
    <row r="57" spans="1:5" x14ac:dyDescent="0.3">
      <c r="A57" s="1">
        <f>DATE(2021,4,6)</f>
        <v>44292</v>
      </c>
      <c r="B57" s="3">
        <v>1.0088729429353753</v>
      </c>
      <c r="C57" s="3">
        <f>_xll.qlYieldTSDiscount($B$38,A57,TRUE,$B$39)</f>
        <v>1.0088729429353753</v>
      </c>
      <c r="D57" s="4">
        <f t="shared" si="0"/>
        <v>0</v>
      </c>
      <c r="E57" s="4">
        <f t="shared" si="1"/>
        <v>0</v>
      </c>
    </row>
    <row r="58" spans="1:5" x14ac:dyDescent="0.3">
      <c r="A58" s="1">
        <f>DATE(2021,7,2)</f>
        <v>44379</v>
      </c>
      <c r="B58" s="3">
        <v>1.010377205263354</v>
      </c>
      <c r="C58" s="3">
        <f>_xll.qlYieldTSDiscount($B$38,A58,TRUE,$B$39)</f>
        <v>1.010377205263354</v>
      </c>
      <c r="D58" s="4">
        <f t="shared" si="0"/>
        <v>0</v>
      </c>
      <c r="E58" s="4">
        <f t="shared" si="1"/>
        <v>0</v>
      </c>
    </row>
    <row r="59" spans="1:5" x14ac:dyDescent="0.3">
      <c r="A59" s="1">
        <f>DATE(2021,10,4)</f>
        <v>44473</v>
      </c>
      <c r="B59" s="3">
        <v>1.0121066654147859</v>
      </c>
      <c r="C59" s="3">
        <f>_xll.qlYieldTSDiscount($B$38,A59,TRUE,$B$39)</f>
        <v>1.0121066654147859</v>
      </c>
      <c r="D59" s="4">
        <f t="shared" si="0"/>
        <v>0</v>
      </c>
      <c r="E59" s="4">
        <f t="shared" si="1"/>
        <v>0</v>
      </c>
    </row>
    <row r="60" spans="1:5" x14ac:dyDescent="0.3">
      <c r="A60" s="1">
        <f>DATE(2022,1,4)</f>
        <v>44565</v>
      </c>
      <c r="B60" s="3">
        <v>1.0147842276588173</v>
      </c>
      <c r="C60" s="3">
        <f>_xll.qlYieldTSDiscount($B$38,A60,TRUE,$B$39)</f>
        <v>1.0147842276588173</v>
      </c>
      <c r="D60" s="4">
        <f t="shared" si="0"/>
        <v>0</v>
      </c>
      <c r="E60" s="4">
        <f t="shared" si="1"/>
        <v>0</v>
      </c>
    </row>
    <row r="61" spans="1:5" x14ac:dyDescent="0.3">
      <c r="A61" s="1">
        <f>DATE(2023,1,3)</f>
        <v>44929</v>
      </c>
      <c r="B61" s="3">
        <v>1.0206879172820273</v>
      </c>
      <c r="C61" s="3">
        <f>_xll.qlYieldTSDiscount($B$38,A61,TRUE,$B$39)</f>
        <v>1.0206879172820273</v>
      </c>
      <c r="D61" s="4">
        <f t="shared" si="0"/>
        <v>0</v>
      </c>
      <c r="E61" s="4">
        <f t="shared" si="1"/>
        <v>0</v>
      </c>
    </row>
    <row r="62" spans="1:5" x14ac:dyDescent="0.3">
      <c r="A62" s="1">
        <f>DATE(2024,1,2)</f>
        <v>45293</v>
      </c>
      <c r="B62" s="3">
        <v>1.0257929445125149</v>
      </c>
      <c r="C62" s="3">
        <f>_xll.qlYieldTSDiscount($B$38,A62,TRUE,$B$39)</f>
        <v>1.0257929445125149</v>
      </c>
      <c r="D62" s="4">
        <f t="shared" si="0"/>
        <v>0</v>
      </c>
      <c r="E62" s="4">
        <f t="shared" si="1"/>
        <v>0</v>
      </c>
    </row>
    <row r="63" spans="1:5" x14ac:dyDescent="0.3">
      <c r="A63" s="1">
        <f>DATE(2025,1,2)</f>
        <v>45659</v>
      </c>
      <c r="B63" s="3">
        <v>1.0293282775871202</v>
      </c>
      <c r="C63" s="3">
        <f>_xll.qlYieldTSDiscount($B$38,A63,TRUE,$B$39)</f>
        <v>1.0293282775871202</v>
      </c>
      <c r="D63" s="4">
        <f t="shared" si="0"/>
        <v>0</v>
      </c>
      <c r="E63" s="4">
        <f t="shared" si="1"/>
        <v>0</v>
      </c>
    </row>
    <row r="64" spans="1:5" x14ac:dyDescent="0.3">
      <c r="A64" s="1">
        <f>DATE(2026,1,2)</f>
        <v>46024</v>
      </c>
      <c r="B64" s="3">
        <v>1.031113569757951</v>
      </c>
      <c r="C64" s="3">
        <f>_xll.qlYieldTSDiscount($B$38,A64,TRUE,$B$39)</f>
        <v>1.031113569757951</v>
      </c>
      <c r="D64" s="4">
        <f t="shared" si="0"/>
        <v>0</v>
      </c>
      <c r="E64" s="4">
        <f t="shared" si="1"/>
        <v>0</v>
      </c>
    </row>
    <row r="65" spans="1:5" x14ac:dyDescent="0.3">
      <c r="A65" s="1">
        <f>DATE(2027,1,4)</f>
        <v>46391</v>
      </c>
      <c r="B65" s="3">
        <v>1.0315744790530954</v>
      </c>
      <c r="C65" s="3">
        <f>_xll.qlYieldTSDiscount($B$38,A65,TRUE,$B$39)</f>
        <v>1.0315744790530954</v>
      </c>
      <c r="D65" s="4">
        <f t="shared" si="0"/>
        <v>0</v>
      </c>
      <c r="E65" s="4">
        <f t="shared" si="1"/>
        <v>0</v>
      </c>
    </row>
    <row r="66" spans="1:5" x14ac:dyDescent="0.3">
      <c r="A66" s="1">
        <f>DATE(2028,1,4)</f>
        <v>46756</v>
      </c>
      <c r="B66" s="3">
        <v>1.0313066694128186</v>
      </c>
      <c r="C66" s="3">
        <f>_xll.qlYieldTSDiscount($B$38,A66,TRUE,$B$39)</f>
        <v>1.0313066694128181</v>
      </c>
      <c r="D66" s="4">
        <f t="shared" si="0"/>
        <v>0</v>
      </c>
      <c r="E66" s="4">
        <f t="shared" si="1"/>
        <v>0</v>
      </c>
    </row>
    <row r="67" spans="1:5" x14ac:dyDescent="0.3">
      <c r="A67" s="1">
        <f>DATE(2029,1,2)</f>
        <v>47120</v>
      </c>
      <c r="B67" s="3">
        <v>1.0271579685921206</v>
      </c>
      <c r="C67" s="3">
        <f>_xll.qlYieldTSDiscount($B$38,A67,TRUE,$B$39)</f>
        <v>1.0271579685921202</v>
      </c>
      <c r="D67" s="4">
        <f t="shared" si="0"/>
        <v>0</v>
      </c>
      <c r="E67" s="4">
        <f t="shared" si="1"/>
        <v>0</v>
      </c>
    </row>
    <row r="68" spans="1:5" x14ac:dyDescent="0.3">
      <c r="A68" s="1">
        <f>DATE(2030,1,2)</f>
        <v>47485</v>
      </c>
      <c r="B68" s="3">
        <v>1.0252339079091182</v>
      </c>
      <c r="C68" s="3">
        <f>_xll.qlYieldTSDiscount($B$38,A68,TRUE,$B$39)</f>
        <v>1.0252339079091175</v>
      </c>
      <c r="D68" s="4">
        <f t="shared" si="0"/>
        <v>0</v>
      </c>
      <c r="E68" s="4">
        <f t="shared" si="1"/>
        <v>0</v>
      </c>
    </row>
    <row r="69" spans="1:5" x14ac:dyDescent="0.3">
      <c r="A69" s="1">
        <f>DATE(2032,1,2)</f>
        <v>48215</v>
      </c>
      <c r="B69" s="3">
        <v>1.0138671869932045</v>
      </c>
      <c r="C69" s="3">
        <f>_xll.qlYieldTSDiscount($B$38,A69,TRUE,$B$39)</f>
        <v>1.013867186993203</v>
      </c>
      <c r="D69" s="4">
        <f t="shared" si="0"/>
        <v>0</v>
      </c>
      <c r="E69" s="4">
        <f t="shared" si="1"/>
        <v>0</v>
      </c>
    </row>
    <row r="70" spans="1:5" x14ac:dyDescent="0.3">
      <c r="A70" s="1">
        <f>DATE(2035,1,2)</f>
        <v>49311</v>
      </c>
      <c r="B70" s="3">
        <v>0.99117175657917633</v>
      </c>
      <c r="C70" s="3">
        <f>_xll.qlYieldTSDiscount($B$38,A70,TRUE,$B$39)</f>
        <v>0.99117175657917356</v>
      </c>
      <c r="D70" s="4">
        <f t="shared" si="0"/>
        <v>-2.7755575615628914E-15</v>
      </c>
      <c r="E70" s="4">
        <f t="shared" si="1"/>
        <v>-2.8002791071672103E-15</v>
      </c>
    </row>
    <row r="71" spans="1:5" x14ac:dyDescent="0.3">
      <c r="A71" s="1">
        <f>DATE(2040,1,3)</f>
        <v>51138</v>
      </c>
      <c r="B71" s="3">
        <v>0.94913288239164606</v>
      </c>
      <c r="C71" s="3">
        <f>_xll.qlYieldTSDiscount($B$38,A71,TRUE,$B$39)</f>
        <v>0.9491328823916495</v>
      </c>
      <c r="D71" s="4">
        <f t="shared" si="0"/>
        <v>3.4416913763379853E-15</v>
      </c>
      <c r="E71" s="4">
        <f t="shared" si="1"/>
        <v>3.6261428090717234E-15</v>
      </c>
    </row>
    <row r="72" spans="1:5" x14ac:dyDescent="0.3">
      <c r="A72" s="1">
        <f>DATE(2045,1,3)</f>
        <v>52965</v>
      </c>
      <c r="B72" s="3">
        <v>0.9130530069140359</v>
      </c>
      <c r="C72" s="3">
        <f>_xll.qlYieldTSDiscount($B$38,A72,TRUE,$B$39)</f>
        <v>0.91305300691404001</v>
      </c>
      <c r="D72" s="4">
        <f t="shared" si="0"/>
        <v>4.1078251911130792E-15</v>
      </c>
      <c r="E72" s="4">
        <f t="shared" si="1"/>
        <v>4.4989996856774296E-15</v>
      </c>
    </row>
    <row r="73" spans="1:5" x14ac:dyDescent="0.3">
      <c r="A73" s="1">
        <f>DATE(2050,1,4)</f>
        <v>54792</v>
      </c>
      <c r="B73" s="3">
        <v>0.88305908965971125</v>
      </c>
      <c r="C73" s="3">
        <f>_xll.qlYieldTSDiscount($B$38,A73,TRUE,$B$39)</f>
        <v>0.88305908965971724</v>
      </c>
      <c r="D73" s="4">
        <f t="shared" si="0"/>
        <v>5.9952043329758453E-15</v>
      </c>
      <c r="E73" s="4">
        <f t="shared" si="1"/>
        <v>6.7891315577603194E-15</v>
      </c>
    </row>
    <row r="75" spans="1:5" x14ac:dyDescent="0.3">
      <c r="A75" t="s">
        <v>265</v>
      </c>
      <c r="D75" s="4">
        <f>MAX(ABS(MIN(D42:D73)),ABS(MAX(D42:D73)))</f>
        <v>5.9952043329758453E-15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CB20-DE31-40B3-BC26-350C74038DA5}">
  <dimension ref="A1:AI236"/>
  <sheetViews>
    <sheetView workbookViewId="0"/>
  </sheetViews>
  <sheetFormatPr defaultRowHeight="14.4" x14ac:dyDescent="0.3"/>
  <cols>
    <col min="1" max="1" width="40.77734375" customWidth="1"/>
    <col min="2" max="30" width="18.77734375" customWidth="1"/>
    <col min="31" max="31" width="10.33203125" bestFit="1" customWidth="1"/>
    <col min="32" max="33" width="15.77734375" bestFit="1" customWidth="1"/>
  </cols>
  <sheetData>
    <row r="1" spans="1:6" x14ac:dyDescent="0.3">
      <c r="A1" s="2" t="s">
        <v>289</v>
      </c>
    </row>
    <row r="2" spans="1:6" x14ac:dyDescent="0.3">
      <c r="A2" t="s">
        <v>290</v>
      </c>
    </row>
    <row r="3" spans="1:6" x14ac:dyDescent="0.3">
      <c r="A3" t="s">
        <v>291</v>
      </c>
      <c r="B3" t="b">
        <f>AND('USD-FedFunds'!$B$32,'USD-LIBOR-6M'!$B$31,'EUR-EURIBOR-6M'!$B$32,'EUR-IN-USD'!$B$39,Indexes!$B$31)</f>
        <v>1</v>
      </c>
    </row>
    <row r="5" spans="1:6" x14ac:dyDescent="0.3">
      <c r="A5" t="s">
        <v>292</v>
      </c>
      <c r="B5" t="str">
        <f>_xll.qlSchedule("TradeSchedule",DATE(2016,2,5),DATE(2026,2,5),"6M","TARGET","Modified Following","Modified Following","Forward",FALSE,,,FALSE,$B$3)</f>
        <v>TradeSchedule#0001</v>
      </c>
      <c r="C5" t="str">
        <f>_xll.ohRangeRetrieveError(B5)</f>
        <v/>
      </c>
    </row>
    <row r="7" spans="1:6" x14ac:dyDescent="0.3">
      <c r="A7" t="s">
        <v>293</v>
      </c>
      <c r="B7" t="s">
        <v>294</v>
      </c>
      <c r="C7" t="s">
        <v>295</v>
      </c>
      <c r="D7" t="s">
        <v>296</v>
      </c>
      <c r="E7" t="s">
        <v>297</v>
      </c>
      <c r="F7" t="s">
        <v>298</v>
      </c>
    </row>
    <row r="8" spans="1:6" x14ac:dyDescent="0.3">
      <c r="A8">
        <v>0</v>
      </c>
      <c r="B8" s="1">
        <f>INDEX(_xll.qlScheduleDates($B$5),1)</f>
        <v>42405</v>
      </c>
      <c r="C8" s="1">
        <f>INDEX(_xll.qlScheduleDates($B$5),2)</f>
        <v>42587</v>
      </c>
      <c r="D8" s="1">
        <f>_xll.qlCalendarAdvance("TARGET",B8,"-2D","Preceding")</f>
        <v>42403</v>
      </c>
      <c r="E8">
        <v>-100000000</v>
      </c>
      <c r="F8">
        <v>100000000</v>
      </c>
    </row>
    <row r="9" spans="1:6" x14ac:dyDescent="0.3">
      <c r="A9">
        <v>1</v>
      </c>
      <c r="B9" s="1">
        <f>INDEX(_xll.qlScheduleDates($B$5),2)</f>
        <v>42587</v>
      </c>
      <c r="C9" s="1">
        <f>INDEX(_xll.qlScheduleDates($B$5),3)</f>
        <v>42772</v>
      </c>
      <c r="D9" s="1">
        <f>_xll.qlCalendarAdvance("TARGET",B9,"-2D","Preceding")</f>
        <v>42585</v>
      </c>
      <c r="E9">
        <v>-100000000</v>
      </c>
      <c r="F9">
        <v>100000000</v>
      </c>
    </row>
    <row r="10" spans="1:6" x14ac:dyDescent="0.3">
      <c r="A10">
        <v>2</v>
      </c>
      <c r="B10" s="1">
        <f>INDEX(_xll.qlScheduleDates($B$5),3)</f>
        <v>42772</v>
      </c>
      <c r="C10" s="1">
        <f>INDEX(_xll.qlScheduleDates($B$5),4)</f>
        <v>42954</v>
      </c>
      <c r="D10" s="1">
        <f>_xll.qlCalendarAdvance("TARGET",B10,"-2D","Preceding")</f>
        <v>42768</v>
      </c>
      <c r="E10">
        <v>-100000000</v>
      </c>
      <c r="F10">
        <v>100000000</v>
      </c>
    </row>
    <row r="11" spans="1:6" x14ac:dyDescent="0.3">
      <c r="A11">
        <v>3</v>
      </c>
      <c r="B11" s="1">
        <f>INDEX(_xll.qlScheduleDates($B$5),4)</f>
        <v>42954</v>
      </c>
      <c r="C11" s="1">
        <f>INDEX(_xll.qlScheduleDates($B$5),5)</f>
        <v>43136</v>
      </c>
      <c r="D11" s="1">
        <f>_xll.qlCalendarAdvance("TARGET",B11,"-2D","Preceding")</f>
        <v>42950</v>
      </c>
      <c r="E11">
        <v>-100000000</v>
      </c>
      <c r="F11">
        <v>100000000</v>
      </c>
    </row>
    <row r="12" spans="1:6" x14ac:dyDescent="0.3">
      <c r="A12">
        <v>4</v>
      </c>
      <c r="B12" s="1">
        <f>INDEX(_xll.qlScheduleDates($B$5),5)</f>
        <v>43136</v>
      </c>
      <c r="C12" s="1">
        <f>INDEX(_xll.qlScheduleDates($B$5),6)</f>
        <v>43318</v>
      </c>
      <c r="D12" s="1">
        <f>_xll.qlCalendarAdvance("TARGET",B12,"-2D","Preceding")</f>
        <v>43132</v>
      </c>
      <c r="E12">
        <v>-100000000</v>
      </c>
      <c r="F12">
        <v>100000000</v>
      </c>
    </row>
    <row r="13" spans="1:6" x14ac:dyDescent="0.3">
      <c r="A13">
        <v>5</v>
      </c>
      <c r="B13" s="1">
        <f>INDEX(_xll.qlScheduleDates($B$5),6)</f>
        <v>43318</v>
      </c>
      <c r="C13" s="1">
        <f>INDEX(_xll.qlScheduleDates($B$5),7)</f>
        <v>43501</v>
      </c>
      <c r="D13" s="1">
        <f>_xll.qlCalendarAdvance("TARGET",B13,"-2D","Preceding")</f>
        <v>43314</v>
      </c>
      <c r="E13">
        <v>-100000000</v>
      </c>
      <c r="F13">
        <v>100000000</v>
      </c>
    </row>
    <row r="14" spans="1:6" x14ac:dyDescent="0.3">
      <c r="A14">
        <v>6</v>
      </c>
      <c r="B14" s="1">
        <f>INDEX(_xll.qlScheduleDates($B$5),7)</f>
        <v>43501</v>
      </c>
      <c r="C14" s="1">
        <f>INDEX(_xll.qlScheduleDates($B$5),8)</f>
        <v>43682</v>
      </c>
      <c r="D14" s="1">
        <f>_xll.qlCalendarAdvance("TARGET",B14,"-2D","Preceding")</f>
        <v>43497</v>
      </c>
      <c r="E14">
        <v>-100000000</v>
      </c>
      <c r="F14">
        <v>100000000</v>
      </c>
    </row>
    <row r="15" spans="1:6" x14ac:dyDescent="0.3">
      <c r="A15">
        <v>7</v>
      </c>
      <c r="B15" s="1">
        <f>INDEX(_xll.qlScheduleDates($B$5),8)</f>
        <v>43682</v>
      </c>
      <c r="C15" s="1">
        <f>INDEX(_xll.qlScheduleDates($B$5),9)</f>
        <v>43866</v>
      </c>
      <c r="D15" s="1">
        <f>_xll.qlCalendarAdvance("TARGET",B15,"-2D","Preceding")</f>
        <v>43678</v>
      </c>
      <c r="E15">
        <v>-100000000</v>
      </c>
      <c r="F15">
        <v>100000000</v>
      </c>
    </row>
    <row r="16" spans="1:6" x14ac:dyDescent="0.3">
      <c r="A16">
        <v>8</v>
      </c>
      <c r="B16" s="1">
        <f>INDEX(_xll.qlScheduleDates($B$5),9)</f>
        <v>43866</v>
      </c>
      <c r="C16" s="1">
        <f>INDEX(_xll.qlScheduleDates($B$5),10)</f>
        <v>44048</v>
      </c>
      <c r="D16" s="1">
        <f>_xll.qlCalendarAdvance("TARGET",B16,"-2D","Preceding")</f>
        <v>43864</v>
      </c>
      <c r="E16">
        <v>-100000000</v>
      </c>
      <c r="F16">
        <v>100000000</v>
      </c>
    </row>
    <row r="17" spans="1:6" x14ac:dyDescent="0.3">
      <c r="A17">
        <v>9</v>
      </c>
      <c r="B17" s="1">
        <f>INDEX(_xll.qlScheduleDates($B$5),10)</f>
        <v>44048</v>
      </c>
      <c r="C17" s="1">
        <f>INDEX(_xll.qlScheduleDates($B$5),11)</f>
        <v>44232</v>
      </c>
      <c r="D17" s="1">
        <f>_xll.qlCalendarAdvance("TARGET",B17,"-2D","Preceding")</f>
        <v>44046</v>
      </c>
      <c r="E17">
        <v>-100000000</v>
      </c>
      <c r="F17">
        <v>100000000</v>
      </c>
    </row>
    <row r="18" spans="1:6" x14ac:dyDescent="0.3">
      <c r="A18">
        <v>10</v>
      </c>
      <c r="B18" s="1">
        <f>INDEX(_xll.qlScheduleDates($B$5),11)</f>
        <v>44232</v>
      </c>
      <c r="C18" s="1">
        <f>INDEX(_xll.qlScheduleDates($B$5),12)</f>
        <v>44413</v>
      </c>
      <c r="D18" s="1">
        <f>_xll.qlCalendarAdvance("TARGET",B18,"-2D","Preceding")</f>
        <v>44230</v>
      </c>
      <c r="E18">
        <v>-100000000</v>
      </c>
      <c r="F18">
        <v>100000000</v>
      </c>
    </row>
    <row r="19" spans="1:6" x14ac:dyDescent="0.3">
      <c r="A19">
        <v>11</v>
      </c>
      <c r="B19" s="1">
        <f>INDEX(_xll.qlScheduleDates($B$5),12)</f>
        <v>44413</v>
      </c>
      <c r="C19" s="1">
        <f>INDEX(_xll.qlScheduleDates($B$5),13)</f>
        <v>44599</v>
      </c>
      <c r="D19" s="1">
        <f>_xll.qlCalendarAdvance("TARGET",B19,"-2D","Preceding")</f>
        <v>44411</v>
      </c>
      <c r="E19">
        <v>-100000000</v>
      </c>
      <c r="F19">
        <v>100000000</v>
      </c>
    </row>
    <row r="20" spans="1:6" x14ac:dyDescent="0.3">
      <c r="A20">
        <v>12</v>
      </c>
      <c r="B20" s="1">
        <f>INDEX(_xll.qlScheduleDates($B$5),13)</f>
        <v>44599</v>
      </c>
      <c r="C20" s="1">
        <f>INDEX(_xll.qlScheduleDates($B$5),14)</f>
        <v>44778</v>
      </c>
      <c r="D20" s="1">
        <f>_xll.qlCalendarAdvance("TARGET",B20,"-2D","Preceding")</f>
        <v>44595</v>
      </c>
      <c r="E20">
        <v>-100000000</v>
      </c>
      <c r="F20">
        <v>100000000</v>
      </c>
    </row>
    <row r="21" spans="1:6" x14ac:dyDescent="0.3">
      <c r="A21">
        <v>13</v>
      </c>
      <c r="B21" s="1">
        <f>INDEX(_xll.qlScheduleDates($B$5),14)</f>
        <v>44778</v>
      </c>
      <c r="C21" s="1">
        <f>INDEX(_xll.qlScheduleDates($B$5),15)</f>
        <v>44963</v>
      </c>
      <c r="D21" s="1">
        <f>_xll.qlCalendarAdvance("TARGET",B21,"-2D","Preceding")</f>
        <v>44776</v>
      </c>
      <c r="E21">
        <v>-100000000</v>
      </c>
      <c r="F21">
        <v>100000000</v>
      </c>
    </row>
    <row r="22" spans="1:6" x14ac:dyDescent="0.3">
      <c r="A22">
        <v>14</v>
      </c>
      <c r="B22" s="1">
        <f>INDEX(_xll.qlScheduleDates($B$5),15)</f>
        <v>44963</v>
      </c>
      <c r="C22" s="1">
        <f>INDEX(_xll.qlScheduleDates($B$5),16)</f>
        <v>45145</v>
      </c>
      <c r="D22" s="1">
        <f>_xll.qlCalendarAdvance("TARGET",B22,"-2D","Preceding")</f>
        <v>44959</v>
      </c>
      <c r="E22">
        <v>-100000000</v>
      </c>
      <c r="F22">
        <v>100000000</v>
      </c>
    </row>
    <row r="23" spans="1:6" x14ac:dyDescent="0.3">
      <c r="A23">
        <v>15</v>
      </c>
      <c r="B23" s="1">
        <f>INDEX(_xll.qlScheduleDates($B$5),16)</f>
        <v>45145</v>
      </c>
      <c r="C23" s="1">
        <f>INDEX(_xll.qlScheduleDates($B$5),17)</f>
        <v>45327</v>
      </c>
      <c r="D23" s="1">
        <f>_xll.qlCalendarAdvance("TARGET",B23,"-2D","Preceding")</f>
        <v>45141</v>
      </c>
      <c r="E23">
        <v>-100000000</v>
      </c>
      <c r="F23">
        <v>100000000</v>
      </c>
    </row>
    <row r="24" spans="1:6" x14ac:dyDescent="0.3">
      <c r="A24">
        <v>16</v>
      </c>
      <c r="B24" s="1">
        <f>INDEX(_xll.qlScheduleDates($B$5),17)</f>
        <v>45327</v>
      </c>
      <c r="C24" s="1">
        <f>INDEX(_xll.qlScheduleDates($B$5),18)</f>
        <v>45509</v>
      </c>
      <c r="D24" s="1">
        <f>_xll.qlCalendarAdvance("TARGET",B24,"-2D","Preceding")</f>
        <v>45323</v>
      </c>
      <c r="E24">
        <v>-100000000</v>
      </c>
      <c r="F24">
        <v>100000000</v>
      </c>
    </row>
    <row r="25" spans="1:6" x14ac:dyDescent="0.3">
      <c r="A25">
        <v>17</v>
      </c>
      <c r="B25" s="1">
        <f>INDEX(_xll.qlScheduleDates($B$5),18)</f>
        <v>45509</v>
      </c>
      <c r="C25" s="1">
        <f>INDEX(_xll.qlScheduleDates($B$5),19)</f>
        <v>45693</v>
      </c>
      <c r="D25" s="1">
        <f>_xll.qlCalendarAdvance("TARGET",B25,"-2D","Preceding")</f>
        <v>45505</v>
      </c>
      <c r="E25">
        <v>-100000000</v>
      </c>
      <c r="F25">
        <v>100000000</v>
      </c>
    </row>
    <row r="26" spans="1:6" x14ac:dyDescent="0.3">
      <c r="A26">
        <v>18</v>
      </c>
      <c r="B26" s="1">
        <f>INDEX(_xll.qlScheduleDates($B$5),19)</f>
        <v>45693</v>
      </c>
      <c r="C26" s="1">
        <f>INDEX(_xll.qlScheduleDates($B$5),20)</f>
        <v>45874</v>
      </c>
      <c r="D26" s="1">
        <f>_xll.qlCalendarAdvance("TARGET",B26,"-2D","Preceding")</f>
        <v>45691</v>
      </c>
      <c r="E26">
        <v>-100000000</v>
      </c>
      <c r="F26">
        <v>100000000</v>
      </c>
    </row>
    <row r="27" spans="1:6" x14ac:dyDescent="0.3">
      <c r="A27">
        <v>19</v>
      </c>
      <c r="B27" s="1">
        <f>INDEX(_xll.qlScheduleDates($B$5),20)</f>
        <v>45874</v>
      </c>
      <c r="C27" s="1">
        <f>INDEX(_xll.qlScheduleDates($B$5),21)</f>
        <v>46058</v>
      </c>
      <c r="D27" s="1">
        <f>_xll.qlCalendarAdvance("TARGET",B27,"-2D","Preceding")</f>
        <v>45870</v>
      </c>
      <c r="E27">
        <v>-100000000</v>
      </c>
      <c r="F27">
        <v>100000000</v>
      </c>
    </row>
    <row r="30" spans="1:6" x14ac:dyDescent="0.3">
      <c r="A30" t="s">
        <v>299</v>
      </c>
      <c r="B30" t="s">
        <v>228</v>
      </c>
      <c r="C30" t="s">
        <v>8</v>
      </c>
      <c r="D30" t="s">
        <v>300</v>
      </c>
      <c r="E30" t="s">
        <v>301</v>
      </c>
    </row>
    <row r="31" spans="1:6" x14ac:dyDescent="0.3">
      <c r="A31" t="s">
        <v>302</v>
      </c>
      <c r="B31" t="str" cm="1">
        <f t="array" ref="B31">_xll.qlIborLeg("Leg0","Modified Following",100000000,$B$5,2,FALSE,"Actual/360",,1,Indexes!$B$17,0,,FALSE,$B$3)</f>
        <v>Leg0#0000</v>
      </c>
      <c r="C31" t="str">
        <f>_xll.ohRangeRetrieveError(B31)</f>
        <v/>
      </c>
      <c r="D31" t="b">
        <v>0</v>
      </c>
      <c r="E31" t="s">
        <v>303</v>
      </c>
    </row>
    <row r="32" spans="1:6" x14ac:dyDescent="0.3">
      <c r="A32" t="s">
        <v>304</v>
      </c>
      <c r="B32" t="str" cm="1">
        <f t="array" ref="B32">_xll.qlLeg("Leg1",999.99,DATE(2020,2,5),TRUE,FALSE,$B$3)</f>
        <v>Leg1#0001</v>
      </c>
      <c r="C32" t="str">
        <f>_xll.ohRangeRetrieveError(B32)</f>
        <v/>
      </c>
      <c r="D32" t="b">
        <v>1</v>
      </c>
      <c r="E32" t="s">
        <v>305</v>
      </c>
    </row>
    <row r="33" spans="1:5" x14ac:dyDescent="0.3">
      <c r="A33" t="s">
        <v>306</v>
      </c>
      <c r="B33" t="str" cm="1">
        <f t="array" ref="B33">_xll.qlLeg("Leg2",-999.99,DATE(2020,2,5),TRUE,FALSE,$B$3)</f>
        <v>Leg2#0001</v>
      </c>
      <c r="C33" t="str">
        <f>_xll.ohRangeRetrieveError(B33)</f>
        <v/>
      </c>
      <c r="D33" t="b">
        <v>1</v>
      </c>
      <c r="E33" t="s">
        <v>305</v>
      </c>
    </row>
    <row r="34" spans="1:5" x14ac:dyDescent="0.3">
      <c r="A34" t="s">
        <v>307</v>
      </c>
      <c r="B34" t="str" cm="1">
        <f t="array" ref="B34">_xll.qlIborLeg("Leg3Underlying","Modified Following",88312931.57,$B$5,2,FALSE,"Actual/360",,1,Indexes!$B$19,0.015,,FALSE,$B$3)</f>
        <v>Leg3Underlying#0000</v>
      </c>
      <c r="C34" t="str">
        <f>_xll.ohRangeRetrieveError(B34)</f>
        <v/>
      </c>
    </row>
    <row r="35" spans="1:5" x14ac:dyDescent="0.3">
      <c r="A35" t="s">
        <v>308</v>
      </c>
      <c r="B35" t="str" cm="1">
        <f t="array" ref="B35">_xll.qlFloatingRateFXLinkedNotionalLeg("Leg3",B34,D8:D27,100000000,Indexes!$B$23,FALSE,$B$3)</f>
        <v>Leg3#0000</v>
      </c>
      <c r="C35" t="str">
        <f>_xll.ohRangeRetrieveError(B35)</f>
        <v/>
      </c>
      <c r="D35" t="b">
        <v>1</v>
      </c>
      <c r="E35" t="s">
        <v>305</v>
      </c>
    </row>
    <row r="36" spans="1:5" x14ac:dyDescent="0.3">
      <c r="A36" t="s">
        <v>309</v>
      </c>
      <c r="B36" t="str" cm="1">
        <f t="array" ref="B36">_xll.qlLeg("Leg4",100000000,DATE(2026,2,5),TRUE,FALSE,$B$3)</f>
        <v>Leg4#0001</v>
      </c>
      <c r="C36" t="str">
        <f>_xll.ohRangeRetrieveError(B36)</f>
        <v/>
      </c>
      <c r="D36" t="b">
        <v>0</v>
      </c>
      <c r="E36" t="s">
        <v>303</v>
      </c>
    </row>
    <row r="37" spans="1:5" x14ac:dyDescent="0.3">
      <c r="A37" t="s">
        <v>310</v>
      </c>
      <c r="B37" t="str" cm="1">
        <f t="array" ref="B37">_xll.qlFXLinkedCashFlowLeg("Leg5",_xlfn.CHOOSECOLS(_xlfn.VSTACK(_xlfn.HSTACK(B9:B27,D9:D27,E9:E27),_xlfn.HSTACK(C8:C27,D8:D27,F8:F27)),1),_xlfn.CHOOSECOLS(_xlfn.VSTACK(_xlfn.HSTACK(B9:B27,D9:D27,E9:E27),_xlfn.HSTACK(C8:C27,D8:D27,F8:F27)),2),_xlfn.CHOOSECOLS(_xlfn.VSTACK(_xlfn.HSTACK(B9:B27,D9:D27,E9:E27),_xlfn.HSTACK(C8:C27,D8:D27,F8:F27)),3),Indexes!$B$23,FALSE,$B$3)</f>
        <v>Leg5#0000</v>
      </c>
      <c r="C37" t="str">
        <f>_xll.ohRangeRetrieveError(B37)</f>
        <v/>
      </c>
      <c r="D37" t="b">
        <v>1</v>
      </c>
      <c r="E37" t="s">
        <v>305</v>
      </c>
    </row>
    <row r="39" spans="1:5" x14ac:dyDescent="0.3">
      <c r="A39" t="s">
        <v>311</v>
      </c>
      <c r="B39" t="str" cm="1">
        <f t="array" ref="B39">_xll.qlCurrencySwap("XCCY_Swap_EUR_USD_RESET",_xlfn.VSTACK(B31,B32,B33,B35,B36,B37),_xlfn.VSTACK(D31,D32,D33,D35,D36,D37),_xlfn.VSTACK(E31,E32,E33,E35,E36,E37),TRUE,TRUE,FALSE,$B$3)</f>
        <v>XCCY_Swap_EUR_USD_RESET#0000</v>
      </c>
      <c r="C39" t="str">
        <f>_xll.ohRangeRetrieveError(B39)</f>
        <v/>
      </c>
    </row>
    <row r="40" spans="1:5" x14ac:dyDescent="0.3">
      <c r="A40" t="s">
        <v>312</v>
      </c>
      <c r="B40" s="1">
        <f>_xll.qlCalendarAdvance("JoinHolidays(TARGET,UnitedStates::Settlement)",MarketData!$B$4*0+DATE(2019,12,30),"2D")</f>
        <v>43832</v>
      </c>
    </row>
    <row r="41" spans="1:5" x14ac:dyDescent="0.3">
      <c r="A41" t="s">
        <v>313</v>
      </c>
      <c r="B41" s="5">
        <f>MarketData!$D$93*_xll.qlYieldTSDiscount(Indexes!$B$5,B40,TRUE,$B$3)/_xll.qlYieldTSDiscount(Indexes!$B$11,B40,TRUE,$B$3)</f>
        <v>1.1197028092392618</v>
      </c>
    </row>
    <row r="42" spans="1:5" x14ac:dyDescent="0.3">
      <c r="A42" t="s">
        <v>314</v>
      </c>
      <c r="B42" t="str">
        <f>_xll.qlSimpleQuote("FX_EURUSD_TODAY",B41,0,FALSE,$B$3)</f>
        <v>FX_EURUSD_TODAY#0000</v>
      </c>
      <c r="C42" t="str">
        <f>_xll.ohRangeRetrieveError(B42)</f>
        <v/>
      </c>
    </row>
    <row r="43" spans="1:5" x14ac:dyDescent="0.3">
      <c r="A43" t="s">
        <v>315</v>
      </c>
      <c r="B43" t="str">
        <f>_xll.qlSimpleQuote("FX_USDUSD",1,0,FALSE,$B$3)</f>
        <v>FX_USDUSD#0001</v>
      </c>
    </row>
    <row r="44" spans="1:5" x14ac:dyDescent="0.3">
      <c r="A44" t="s">
        <v>316</v>
      </c>
      <c r="B44" t="str" cm="1">
        <f t="array" ref="B44">_xll.qlDiscountingCurrencySwapEngine("XccyEngine",_xlfn.VSTACK(Indexes!$B$5,Indexes!$B$11),_xlfn.VSTACK(B43,B42),{"USD";"EUR"},"USD",FALSE,$B$3)</f>
        <v>XccyEngine#0000</v>
      </c>
      <c r="C44" t="str">
        <f>_xll.ohRangeRetrieveError(B44)</f>
        <v/>
      </c>
    </row>
    <row r="45" spans="1:5" x14ac:dyDescent="0.3">
      <c r="A45" t="s">
        <v>317</v>
      </c>
      <c r="B45" t="b">
        <f>_xll.qlInstrumentSetPricingEngine(B39,B44)</f>
        <v>1</v>
      </c>
    </row>
    <row r="46" spans="1:5" x14ac:dyDescent="0.3">
      <c r="A46" t="s">
        <v>318</v>
      </c>
      <c r="B46" s="6">
        <f>_xll.qlInstrumentNPV(B39,B45)</f>
        <v>-10860611.110397592</v>
      </c>
      <c r="C46" s="6" t="s">
        <v>319</v>
      </c>
      <c r="D46" s="6">
        <v>-10860611.110398</v>
      </c>
      <c r="E46" s="6">
        <f>B46-D46</f>
        <v>4.0791928768157959E-7</v>
      </c>
    </row>
    <row r="47" spans="1:5" x14ac:dyDescent="0.3">
      <c r="A47" t="s">
        <v>299</v>
      </c>
      <c r="B47" t="s">
        <v>320</v>
      </c>
      <c r="C47" t="s">
        <v>318</v>
      </c>
    </row>
    <row r="48" spans="1:5" x14ac:dyDescent="0.3">
      <c r="A48">
        <v>0</v>
      </c>
      <c r="B48" s="7">
        <f>_xll.qlCurrencySwapInCcyLegNPV($B$39,0,$B$45)</f>
        <v>11315471.100669032</v>
      </c>
      <c r="C48" s="7">
        <f>_xll.qlCurrencySwapLegNPV($B$39,0,$B$45)</f>
        <v>11315471.100669032</v>
      </c>
    </row>
    <row r="49" spans="1:35" x14ac:dyDescent="0.3">
      <c r="A49">
        <v>1</v>
      </c>
      <c r="B49" s="7">
        <f>_xll.qlCurrencySwapInCcyLegNPV($B$39,1,$B$45)</f>
        <v>-1000.6534187007693</v>
      </c>
      <c r="C49" s="7">
        <f>_xll.qlCurrencySwapLegNPV($B$39,1,$B$45)</f>
        <v>-1120.4344439941226</v>
      </c>
    </row>
    <row r="50" spans="1:35" x14ac:dyDescent="0.3">
      <c r="A50">
        <v>2</v>
      </c>
      <c r="B50" s="7">
        <f>_xll.qlCurrencySwapInCcyLegNPV($B$39,2,$B$45)</f>
        <v>1000.6534187007693</v>
      </c>
      <c r="C50" s="7">
        <f>_xll.qlCurrencySwapLegNPV($B$39,2,$B$45)</f>
        <v>1120.4344439941226</v>
      </c>
    </row>
    <row r="51" spans="1:35" x14ac:dyDescent="0.3">
      <c r="A51">
        <v>3</v>
      </c>
      <c r="B51" s="7">
        <f>_xll.qlCurrencySwapInCcyLegNPV($B$39,3,$B$45)</f>
        <v>-8056979.5939373821</v>
      </c>
      <c r="C51" s="7">
        <f>_xll.qlCurrencySwapLegNPV($B$39,3,$B$45)</f>
        <v>-9021422.685315093</v>
      </c>
    </row>
    <row r="52" spans="1:35" x14ac:dyDescent="0.3">
      <c r="A52">
        <v>4</v>
      </c>
      <c r="B52" s="7">
        <f>_xll.qlCurrencySwapInCcyLegNPV($B$39,4,$B$45)</f>
        <v>91275628.676128924</v>
      </c>
      <c r="C52" s="7">
        <f>_xll.qlCurrencySwapLegNPV($B$39,4,$B$45)</f>
        <v>91275628.676128924</v>
      </c>
    </row>
    <row r="53" spans="1:35" x14ac:dyDescent="0.3">
      <c r="A53">
        <v>5</v>
      </c>
      <c r="B53" s="7">
        <f>_xll.qlCurrencySwapInCcyLegNPV($B$39,5,$B$45)</f>
        <v>-93266076.801960975</v>
      </c>
      <c r="C53" s="7">
        <f>_xll.qlCurrencySwapLegNPV($B$39,5,$B$45)</f>
        <v>-104430288.20188046</v>
      </c>
    </row>
    <row r="55" spans="1:35" x14ac:dyDescent="0.3">
      <c r="A55" s="2" t="s">
        <v>321</v>
      </c>
      <c r="AD55" s="2" t="s">
        <v>299</v>
      </c>
      <c r="AE55" s="2" t="s">
        <v>327</v>
      </c>
      <c r="AF55" s="2" t="s">
        <v>328</v>
      </c>
      <c r="AG55" s="2" t="s">
        <v>329</v>
      </c>
      <c r="AH55" s="2" t="s">
        <v>241</v>
      </c>
      <c r="AI55" s="2" t="s">
        <v>330</v>
      </c>
    </row>
    <row r="56" spans="1:35" x14ac:dyDescent="0.3">
      <c r="A56" t="str" cm="1">
        <f t="array" ref="A56:T69">_xll.qlLegFlowAnalysis(B31,DATE(2019,12,30),$B$45)</f>
        <v>Payment Date</v>
      </c>
      <c r="B56" t="str">
        <v>Amount</v>
      </c>
      <c r="C56" t="str">
        <v>Nominal</v>
      </c>
      <c r="D56" t="str">
        <v>Accrual Start Date</v>
      </c>
      <c r="E56" t="str">
        <v>Accrual End Date</v>
      </c>
      <c r="F56" t="str">
        <v>Accrual Days</v>
      </c>
      <c r="G56" t="str">
        <v>Index</v>
      </c>
      <c r="H56" t="str">
        <v>Fixing Days</v>
      </c>
      <c r="I56" t="str">
        <v>Fixing Dates</v>
      </c>
      <c r="J56" t="str">
        <v>Day Counter</v>
      </c>
      <c r="K56" t="str">
        <v>Accrual Period</v>
      </c>
      <c r="L56" t="str">
        <v>Effective Rate</v>
      </c>
      <c r="M56" t="str">
        <v>Floor</v>
      </c>
      <c r="N56" t="str">
        <v>Gearing</v>
      </c>
      <c r="O56" t="str">
        <v>Index Fixing</v>
      </c>
      <c r="P56" t="str">
        <v>Conv. Adj.</v>
      </c>
      <c r="Q56" t="str">
        <v>Spread</v>
      </c>
      <c r="R56" t="str">
        <v>Cap</v>
      </c>
      <c r="S56" t="str">
        <v>Call Digital Payoff</v>
      </c>
      <c r="T56" t="str">
        <v>Put Digital Payoff</v>
      </c>
      <c r="AD56">
        <v>0</v>
      </c>
      <c r="AE56" s="1">
        <f>DATE(2020,2,5)</f>
        <v>43866</v>
      </c>
      <c r="AF56" s="7">
        <f>1*B57</f>
        <v>1138183.111111111</v>
      </c>
      <c r="AG56" s="7">
        <v>1138183.1111000001</v>
      </c>
      <c r="AH56" s="4">
        <f>AF56-AG56</f>
        <v>1.1110911145806313E-5</v>
      </c>
      <c r="AI56">
        <v>57</v>
      </c>
    </row>
    <row r="57" spans="1:35" x14ac:dyDescent="0.3">
      <c r="A57">
        <v>43866</v>
      </c>
      <c r="B57">
        <v>1138183.111111111</v>
      </c>
      <c r="C57">
        <v>100000000</v>
      </c>
      <c r="D57">
        <v>43682</v>
      </c>
      <c r="E57">
        <v>43866</v>
      </c>
      <c r="F57">
        <v>184</v>
      </c>
      <c r="G57" t="str">
        <v>USDLibor6M Actual/360</v>
      </c>
      <c r="H57">
        <v>2</v>
      </c>
      <c r="I57">
        <v>43678</v>
      </c>
      <c r="J57" t="str">
        <v>Actual/360</v>
      </c>
      <c r="K57">
        <v>0.51111111111111107</v>
      </c>
      <c r="L57">
        <v>2.2268799999999998E-2</v>
      </c>
      <c r="M57" t="str">
        <v>#N/A</v>
      </c>
      <c r="N57">
        <v>1</v>
      </c>
      <c r="O57">
        <v>2.2268799999999998E-2</v>
      </c>
      <c r="P57">
        <v>0</v>
      </c>
      <c r="Q57">
        <v>0</v>
      </c>
      <c r="R57" t="str">
        <v>#N/A</v>
      </c>
      <c r="S57" t="str">
        <v>#N/A</v>
      </c>
      <c r="T57" t="str">
        <v>#N/A</v>
      </c>
      <c r="AD57">
        <v>0</v>
      </c>
      <c r="AE57" s="1">
        <f>DATE(2020,8,5)</f>
        <v>44048</v>
      </c>
      <c r="AF57" s="7">
        <f>1*B58</f>
        <v>911828.47608242137</v>
      </c>
      <c r="AG57" s="7">
        <v>911828.47609999997</v>
      </c>
      <c r="AH57" s="4">
        <f>AF57-AG57</f>
        <v>-1.757859718054533E-5</v>
      </c>
      <c r="AI57">
        <v>58</v>
      </c>
    </row>
    <row r="58" spans="1:35" x14ac:dyDescent="0.3">
      <c r="A58">
        <v>44048</v>
      </c>
      <c r="B58">
        <v>911828.47608242137</v>
      </c>
      <c r="C58">
        <v>100000000</v>
      </c>
      <c r="D58">
        <v>43866</v>
      </c>
      <c r="E58">
        <v>44048</v>
      </c>
      <c r="F58">
        <v>182</v>
      </c>
      <c r="G58" t="str">
        <v>USDLibor6M Actual/360</v>
      </c>
      <c r="H58">
        <v>2</v>
      </c>
      <c r="I58">
        <v>43864</v>
      </c>
      <c r="J58" t="str">
        <v>Actual/360</v>
      </c>
      <c r="K58">
        <v>0.50555555555555554</v>
      </c>
      <c r="L58">
        <v>1.803616765877317E-2</v>
      </c>
      <c r="M58" t="str">
        <v>#N/A</v>
      </c>
      <c r="N58">
        <v>1</v>
      </c>
      <c r="O58">
        <v>1.803616765877317E-2</v>
      </c>
      <c r="P58">
        <v>0</v>
      </c>
      <c r="Q58">
        <v>0</v>
      </c>
      <c r="R58" t="str">
        <v>#N/A</v>
      </c>
      <c r="S58" t="str">
        <v>#N/A</v>
      </c>
      <c r="T58" t="str">
        <v>#N/A</v>
      </c>
      <c r="AD58">
        <v>0</v>
      </c>
      <c r="AE58" s="1">
        <f>DATE(2021,2,5)</f>
        <v>44232</v>
      </c>
      <c r="AF58" s="7">
        <f>1*B59</f>
        <v>878298.34455961373</v>
      </c>
      <c r="AG58" s="7">
        <v>878298.34459999995</v>
      </c>
      <c r="AH58" s="4">
        <f>AF58-AG58</f>
        <v>-4.0386221371591091E-5</v>
      </c>
      <c r="AI58">
        <v>59</v>
      </c>
    </row>
    <row r="59" spans="1:35" x14ac:dyDescent="0.3">
      <c r="A59">
        <v>44232</v>
      </c>
      <c r="B59">
        <v>878298.34455961373</v>
      </c>
      <c r="C59">
        <v>100000000</v>
      </c>
      <c r="D59">
        <v>44048</v>
      </c>
      <c r="E59">
        <v>44232</v>
      </c>
      <c r="F59">
        <v>184</v>
      </c>
      <c r="G59" t="str">
        <v>USDLibor6M Actual/360</v>
      </c>
      <c r="H59">
        <v>2</v>
      </c>
      <c r="I59">
        <v>44046</v>
      </c>
      <c r="J59" t="str">
        <v>Actual/360</v>
      </c>
      <c r="K59">
        <v>0.51111111111111107</v>
      </c>
      <c r="L59">
        <v>1.7184098045731573E-2</v>
      </c>
      <c r="M59" t="str">
        <v>#N/A</v>
      </c>
      <c r="N59">
        <v>1</v>
      </c>
      <c r="O59">
        <v>1.7184098045731573E-2</v>
      </c>
      <c r="P59">
        <v>0</v>
      </c>
      <c r="Q59">
        <v>0</v>
      </c>
      <c r="R59" t="str">
        <v>#N/A</v>
      </c>
      <c r="S59" t="str">
        <v>#N/A</v>
      </c>
      <c r="T59" t="str">
        <v>#N/A</v>
      </c>
      <c r="AD59">
        <v>0</v>
      </c>
      <c r="AE59" s="1">
        <f>DATE(2021,8,5)</f>
        <v>44413</v>
      </c>
      <c r="AF59" s="7">
        <f>1*B60</f>
        <v>834251.71637703246</v>
      </c>
      <c r="AG59" s="7">
        <v>834251.71640000003</v>
      </c>
      <c r="AH59" s="4">
        <f>AF59-AG59</f>
        <v>-2.296757884323597E-5</v>
      </c>
      <c r="AI59">
        <v>60</v>
      </c>
    </row>
    <row r="60" spans="1:35" x14ac:dyDescent="0.3">
      <c r="A60">
        <v>44413</v>
      </c>
      <c r="B60">
        <v>834251.71637703246</v>
      </c>
      <c r="C60">
        <v>100000000</v>
      </c>
      <c r="D60">
        <v>44232</v>
      </c>
      <c r="E60">
        <v>44413</v>
      </c>
      <c r="F60">
        <v>181</v>
      </c>
      <c r="G60" t="str">
        <v>USDLibor6M Actual/360</v>
      </c>
      <c r="H60">
        <v>2</v>
      </c>
      <c r="I60">
        <v>44230</v>
      </c>
      <c r="J60" t="str">
        <v>Actual/360</v>
      </c>
      <c r="K60">
        <v>0.50277777777777777</v>
      </c>
      <c r="L60">
        <v>1.659285181744374E-2</v>
      </c>
      <c r="M60" t="str">
        <v>#N/A</v>
      </c>
      <c r="N60">
        <v>1</v>
      </c>
      <c r="O60">
        <v>1.659285181744374E-2</v>
      </c>
      <c r="P60">
        <v>0</v>
      </c>
      <c r="Q60">
        <v>0</v>
      </c>
      <c r="R60" t="str">
        <v>#N/A</v>
      </c>
      <c r="S60" t="str">
        <v>#N/A</v>
      </c>
      <c r="T60" t="str">
        <v>#N/A</v>
      </c>
      <c r="AD60">
        <v>0</v>
      </c>
      <c r="AE60" s="1">
        <f>DATE(2022,2,7)</f>
        <v>44599</v>
      </c>
      <c r="AF60" s="7">
        <f>1*B61</f>
        <v>878999.01504360221</v>
      </c>
      <c r="AG60" s="7">
        <v>878999.01500000001</v>
      </c>
      <c r="AH60" s="4">
        <f>AF60-AG60</f>
        <v>4.3602194637060165E-5</v>
      </c>
      <c r="AI60">
        <v>61</v>
      </c>
    </row>
    <row r="61" spans="1:35" x14ac:dyDescent="0.3">
      <c r="A61">
        <v>44599</v>
      </c>
      <c r="B61">
        <v>878999.01504360221</v>
      </c>
      <c r="C61">
        <v>100000000</v>
      </c>
      <c r="D61">
        <v>44413</v>
      </c>
      <c r="E61">
        <v>44599</v>
      </c>
      <c r="F61">
        <v>186</v>
      </c>
      <c r="G61" t="str">
        <v>USDLibor6M Actual/360</v>
      </c>
      <c r="H61">
        <v>2</v>
      </c>
      <c r="I61">
        <v>44411</v>
      </c>
      <c r="J61" t="str">
        <v>Actual/360</v>
      </c>
      <c r="K61">
        <v>0.51666666666666672</v>
      </c>
      <c r="L61">
        <v>1.7012884162134236E-2</v>
      </c>
      <c r="M61" t="str">
        <v>#N/A</v>
      </c>
      <c r="N61">
        <v>1</v>
      </c>
      <c r="O61">
        <v>1.7012884162134236E-2</v>
      </c>
      <c r="P61">
        <v>0</v>
      </c>
      <c r="Q61">
        <v>0</v>
      </c>
      <c r="R61" t="str">
        <v>#N/A</v>
      </c>
      <c r="S61" t="str">
        <v>#N/A</v>
      </c>
      <c r="T61" t="str">
        <v>#N/A</v>
      </c>
      <c r="AD61">
        <v>0</v>
      </c>
      <c r="AE61" s="1">
        <f>DATE(2022,8,5)</f>
        <v>44778</v>
      </c>
      <c r="AF61" s="7">
        <f>1*B62</f>
        <v>803431.26207862434</v>
      </c>
      <c r="AG61" s="7">
        <v>803431.26210000005</v>
      </c>
      <c r="AH61" s="4">
        <f>AF61-AG61</f>
        <v>-2.1375715732574463E-5</v>
      </c>
      <c r="AI61">
        <v>62</v>
      </c>
    </row>
    <row r="62" spans="1:35" x14ac:dyDescent="0.3">
      <c r="A62">
        <v>44778</v>
      </c>
      <c r="B62">
        <v>803431.26207862434</v>
      </c>
      <c r="C62">
        <v>100000000</v>
      </c>
      <c r="D62">
        <v>44599</v>
      </c>
      <c r="E62">
        <v>44778</v>
      </c>
      <c r="F62">
        <v>179</v>
      </c>
      <c r="G62" t="str">
        <v>USDLibor6M Actual/360</v>
      </c>
      <c r="H62">
        <v>2</v>
      </c>
      <c r="I62">
        <v>44595</v>
      </c>
      <c r="J62" t="str">
        <v>Actual/360</v>
      </c>
      <c r="K62">
        <v>0.49722222222222223</v>
      </c>
      <c r="L62">
        <v>1.6158394097670656E-2</v>
      </c>
      <c r="M62" t="str">
        <v>#N/A</v>
      </c>
      <c r="N62">
        <v>1</v>
      </c>
      <c r="O62">
        <v>1.6158394097670656E-2</v>
      </c>
      <c r="P62">
        <v>0</v>
      </c>
      <c r="Q62">
        <v>0</v>
      </c>
      <c r="R62" t="str">
        <v>#N/A</v>
      </c>
      <c r="S62" t="str">
        <v>#N/A</v>
      </c>
      <c r="T62" t="str">
        <v>#N/A</v>
      </c>
      <c r="AD62">
        <v>0</v>
      </c>
      <c r="AE62" s="1">
        <f>DATE(2023,2,6)</f>
        <v>44963</v>
      </c>
      <c r="AF62" s="7">
        <f>1*B63</f>
        <v>843079.43287942337</v>
      </c>
      <c r="AG62" s="7">
        <v>843079.43290000001</v>
      </c>
      <c r="AH62" s="4">
        <f>AF62-AG62</f>
        <v>-2.0576640963554382E-5</v>
      </c>
      <c r="AI62">
        <v>63</v>
      </c>
    </row>
    <row r="63" spans="1:35" x14ac:dyDescent="0.3">
      <c r="A63">
        <v>44963</v>
      </c>
      <c r="B63">
        <v>843079.43287942337</v>
      </c>
      <c r="C63">
        <v>100000000</v>
      </c>
      <c r="D63">
        <v>44778</v>
      </c>
      <c r="E63">
        <v>44963</v>
      </c>
      <c r="F63">
        <v>185</v>
      </c>
      <c r="G63" t="str">
        <v>USDLibor6M Actual/360</v>
      </c>
      <c r="H63">
        <v>2</v>
      </c>
      <c r="I63">
        <v>44776</v>
      </c>
      <c r="J63" t="str">
        <v>Actual/360</v>
      </c>
      <c r="K63">
        <v>0.51388888888888884</v>
      </c>
      <c r="L63">
        <v>1.6405870045221212E-2</v>
      </c>
      <c r="M63" t="str">
        <v>#N/A</v>
      </c>
      <c r="N63">
        <v>1</v>
      </c>
      <c r="O63">
        <v>1.6405870045221212E-2</v>
      </c>
      <c r="P63">
        <v>0</v>
      </c>
      <c r="Q63">
        <v>0</v>
      </c>
      <c r="R63" t="str">
        <v>#N/A</v>
      </c>
      <c r="S63" t="str">
        <v>#N/A</v>
      </c>
      <c r="T63" t="str">
        <v>#N/A</v>
      </c>
      <c r="AD63">
        <v>0</v>
      </c>
      <c r="AE63" s="1">
        <f>DATE(2023,8,7)</f>
        <v>45145</v>
      </c>
      <c r="AF63" s="7">
        <f>1*B64</f>
        <v>884439.88713398087</v>
      </c>
      <c r="AG63" s="7">
        <v>884439.88710000005</v>
      </c>
      <c r="AH63" s="4">
        <f>AF63-AG63</f>
        <v>3.3980817534029484E-5</v>
      </c>
      <c r="AI63">
        <v>64</v>
      </c>
    </row>
    <row r="64" spans="1:35" x14ac:dyDescent="0.3">
      <c r="A64">
        <v>45145</v>
      </c>
      <c r="B64">
        <v>884439.88713398087</v>
      </c>
      <c r="C64">
        <v>100000000</v>
      </c>
      <c r="D64">
        <v>44963</v>
      </c>
      <c r="E64">
        <v>45145</v>
      </c>
      <c r="F64">
        <v>182</v>
      </c>
      <c r="G64" t="str">
        <v>USDLibor6M Actual/360</v>
      </c>
      <c r="H64">
        <v>2</v>
      </c>
      <c r="I64">
        <v>44959</v>
      </c>
      <c r="J64" t="str">
        <v>Actual/360</v>
      </c>
      <c r="K64">
        <v>0.50555555555555554</v>
      </c>
      <c r="L64">
        <v>1.7494415349902918E-2</v>
      </c>
      <c r="M64" t="str">
        <v>#N/A</v>
      </c>
      <c r="N64">
        <v>1</v>
      </c>
      <c r="O64">
        <v>1.7494415349902918E-2</v>
      </c>
      <c r="P64">
        <v>0</v>
      </c>
      <c r="Q64">
        <v>0</v>
      </c>
      <c r="R64" t="str">
        <v>#N/A</v>
      </c>
      <c r="S64" t="str">
        <v>#N/A</v>
      </c>
      <c r="T64" t="str">
        <v>#N/A</v>
      </c>
      <c r="AD64">
        <v>0</v>
      </c>
      <c r="AE64" s="1">
        <f>DATE(2024,2,5)</f>
        <v>45327</v>
      </c>
      <c r="AF64" s="7">
        <f>1*B65</f>
        <v>886571.55392919411</v>
      </c>
      <c r="AG64" s="7">
        <v>886571.55390000006</v>
      </c>
      <c r="AH64" s="4">
        <f>AF64-AG64</f>
        <v>2.9194052331149578E-5</v>
      </c>
      <c r="AI64">
        <v>65</v>
      </c>
    </row>
    <row r="65" spans="1:35" x14ac:dyDescent="0.3">
      <c r="A65">
        <v>45327</v>
      </c>
      <c r="B65">
        <v>886571.55392919411</v>
      </c>
      <c r="C65">
        <v>100000000</v>
      </c>
      <c r="D65">
        <v>45145</v>
      </c>
      <c r="E65">
        <v>45327</v>
      </c>
      <c r="F65">
        <v>182</v>
      </c>
      <c r="G65" t="str">
        <v>USDLibor6M Actual/360</v>
      </c>
      <c r="H65">
        <v>2</v>
      </c>
      <c r="I65">
        <v>45141</v>
      </c>
      <c r="J65" t="str">
        <v>Actual/360</v>
      </c>
      <c r="K65">
        <v>0.50555555555555554</v>
      </c>
      <c r="L65">
        <v>1.7536580187610434E-2</v>
      </c>
      <c r="M65" t="str">
        <v>#N/A</v>
      </c>
      <c r="N65">
        <v>1</v>
      </c>
      <c r="O65">
        <v>1.7536580187610434E-2</v>
      </c>
      <c r="P65">
        <v>0</v>
      </c>
      <c r="Q65">
        <v>0</v>
      </c>
      <c r="R65" t="str">
        <v>#N/A</v>
      </c>
      <c r="S65" t="str">
        <v>#N/A</v>
      </c>
      <c r="T65" t="str">
        <v>#N/A</v>
      </c>
      <c r="AD65">
        <v>0</v>
      </c>
      <c r="AE65" s="1">
        <f>DATE(2024,8,5)</f>
        <v>45509</v>
      </c>
      <c r="AF65" s="7">
        <f>1*B66</f>
        <v>895851.09886791697</v>
      </c>
      <c r="AG65" s="7">
        <v>895851.09889999998</v>
      </c>
      <c r="AH65" s="4">
        <f>AF65-AG65</f>
        <v>-3.2083014957606792E-5</v>
      </c>
      <c r="AI65">
        <v>66</v>
      </c>
    </row>
    <row r="66" spans="1:35" x14ac:dyDescent="0.3">
      <c r="A66">
        <v>45509</v>
      </c>
      <c r="B66">
        <v>895851.09886791697</v>
      </c>
      <c r="C66">
        <v>100000000</v>
      </c>
      <c r="D66">
        <v>45327</v>
      </c>
      <c r="E66">
        <v>45509</v>
      </c>
      <c r="F66">
        <v>182</v>
      </c>
      <c r="G66" t="str">
        <v>USDLibor6M Actual/360</v>
      </c>
      <c r="H66">
        <v>2</v>
      </c>
      <c r="I66">
        <v>45323</v>
      </c>
      <c r="J66" t="str">
        <v>Actual/360</v>
      </c>
      <c r="K66">
        <v>0.50555555555555554</v>
      </c>
      <c r="L66">
        <v>1.7720131625958795E-2</v>
      </c>
      <c r="M66" t="str">
        <v>#N/A</v>
      </c>
      <c r="N66">
        <v>1</v>
      </c>
      <c r="O66">
        <v>1.7720131625958795E-2</v>
      </c>
      <c r="P66">
        <v>0</v>
      </c>
      <c r="Q66">
        <v>0</v>
      </c>
      <c r="R66" t="str">
        <v>#N/A</v>
      </c>
      <c r="S66" t="str">
        <v>#N/A</v>
      </c>
      <c r="T66" t="str">
        <v>#N/A</v>
      </c>
      <c r="AD66">
        <v>0</v>
      </c>
      <c r="AE66" s="1">
        <f>DATE(2025,2,5)</f>
        <v>45693</v>
      </c>
      <c r="AF66" s="7">
        <f>1*B67</f>
        <v>920092.85158529691</v>
      </c>
      <c r="AG66" s="7">
        <v>920092.85160000005</v>
      </c>
      <c r="AH66" s="4">
        <f>AF66-AG66</f>
        <v>-1.470313873142004E-5</v>
      </c>
      <c r="AI66">
        <v>67</v>
      </c>
    </row>
    <row r="67" spans="1:35" x14ac:dyDescent="0.3">
      <c r="A67">
        <v>45693</v>
      </c>
      <c r="B67">
        <v>920092.85158529691</v>
      </c>
      <c r="C67">
        <v>100000000</v>
      </c>
      <c r="D67">
        <v>45509</v>
      </c>
      <c r="E67">
        <v>45693</v>
      </c>
      <c r="F67">
        <v>184</v>
      </c>
      <c r="G67" t="str">
        <v>USDLibor6M Actual/360</v>
      </c>
      <c r="H67">
        <v>2</v>
      </c>
      <c r="I67">
        <v>45505</v>
      </c>
      <c r="J67" t="str">
        <v>Actual/360</v>
      </c>
      <c r="K67">
        <v>0.51111111111111107</v>
      </c>
      <c r="L67">
        <v>1.800181666145146E-2</v>
      </c>
      <c r="M67" t="str">
        <v>#N/A</v>
      </c>
      <c r="N67">
        <v>1</v>
      </c>
      <c r="O67">
        <v>1.800181666145146E-2</v>
      </c>
      <c r="P67">
        <v>0</v>
      </c>
      <c r="Q67">
        <v>0</v>
      </c>
      <c r="R67" t="str">
        <v>#N/A</v>
      </c>
      <c r="S67" t="str">
        <v>#N/A</v>
      </c>
      <c r="T67" t="str">
        <v>#N/A</v>
      </c>
      <c r="AD67">
        <v>0</v>
      </c>
      <c r="AE67" s="1">
        <f>DATE(2025,8,5)</f>
        <v>45874</v>
      </c>
      <c r="AF67" s="7">
        <f>1*B68</f>
        <v>967326.71750690008</v>
      </c>
      <c r="AG67" s="7">
        <v>967326.71750000003</v>
      </c>
      <c r="AH67" s="4">
        <f>AF67-AG67</f>
        <v>6.9000525400042534E-6</v>
      </c>
      <c r="AI67">
        <v>68</v>
      </c>
    </row>
    <row r="68" spans="1:35" x14ac:dyDescent="0.3">
      <c r="A68">
        <v>45874</v>
      </c>
      <c r="B68">
        <v>967326.71750690008</v>
      </c>
      <c r="C68">
        <v>100000000</v>
      </c>
      <c r="D68">
        <v>45693</v>
      </c>
      <c r="E68">
        <v>45874</v>
      </c>
      <c r="F68">
        <v>181</v>
      </c>
      <c r="G68" t="str">
        <v>USDLibor6M Actual/360</v>
      </c>
      <c r="H68">
        <v>2</v>
      </c>
      <c r="I68">
        <v>45691</v>
      </c>
      <c r="J68" t="str">
        <v>Actual/360</v>
      </c>
      <c r="K68">
        <v>0.50277777777777777</v>
      </c>
      <c r="L68">
        <v>1.9239647420026741E-2</v>
      </c>
      <c r="M68" t="str">
        <v>#N/A</v>
      </c>
      <c r="N68">
        <v>1</v>
      </c>
      <c r="O68">
        <v>1.9239647420026741E-2</v>
      </c>
      <c r="P68">
        <v>0</v>
      </c>
      <c r="Q68">
        <v>0</v>
      </c>
      <c r="R68" t="str">
        <v>#N/A</v>
      </c>
      <c r="S68" t="str">
        <v>#N/A</v>
      </c>
      <c r="T68" t="str">
        <v>#N/A</v>
      </c>
      <c r="AD68">
        <v>0</v>
      </c>
      <c r="AE68" s="1">
        <f>DATE(2026,2,5)</f>
        <v>46058</v>
      </c>
      <c r="AF68" s="7">
        <f>1*B69</f>
        <v>992444.76778976852</v>
      </c>
      <c r="AG68" s="7">
        <v>992444.76780000003</v>
      </c>
      <c r="AH68" s="4">
        <f>AF68-AG68</f>
        <v>-1.0231509804725647E-5</v>
      </c>
      <c r="AI68">
        <v>69</v>
      </c>
    </row>
    <row r="69" spans="1:35" x14ac:dyDescent="0.3">
      <c r="A69">
        <v>46058</v>
      </c>
      <c r="B69">
        <v>992444.76778976852</v>
      </c>
      <c r="C69">
        <v>100000000</v>
      </c>
      <c r="D69">
        <v>45874</v>
      </c>
      <c r="E69">
        <v>46058</v>
      </c>
      <c r="F69">
        <v>184</v>
      </c>
      <c r="G69" t="str">
        <v>USDLibor6M Actual/360</v>
      </c>
      <c r="H69">
        <v>2</v>
      </c>
      <c r="I69">
        <v>45870</v>
      </c>
      <c r="J69" t="str">
        <v>Actual/360</v>
      </c>
      <c r="K69">
        <v>0.51111111111111107</v>
      </c>
      <c r="L69">
        <v>1.9417397630669384E-2</v>
      </c>
      <c r="M69" t="str">
        <v>#N/A</v>
      </c>
      <c r="N69">
        <v>1</v>
      </c>
      <c r="O69">
        <v>1.9417397630669384E-2</v>
      </c>
      <c r="P69">
        <v>0</v>
      </c>
      <c r="Q69">
        <v>0</v>
      </c>
      <c r="R69" t="str">
        <v>#N/A</v>
      </c>
      <c r="S69" t="str">
        <v>#N/A</v>
      </c>
      <c r="T69" t="str">
        <v>#N/A</v>
      </c>
      <c r="AD69">
        <v>1</v>
      </c>
      <c r="AE69" s="1">
        <f>DATE(2020,2,5)</f>
        <v>43866</v>
      </c>
      <c r="AF69" s="7">
        <f>-1*B88</f>
        <v>-999.99</v>
      </c>
      <c r="AG69" s="7">
        <v>-999.99</v>
      </c>
      <c r="AH69" s="4">
        <f>AF69-AG69</f>
        <v>0</v>
      </c>
      <c r="AI69">
        <v>88</v>
      </c>
    </row>
    <row r="70" spans="1:35" x14ac:dyDescent="0.3">
      <c r="AD70">
        <v>2</v>
      </c>
      <c r="AE70" s="1">
        <f>DATE(2020,2,5)</f>
        <v>43866</v>
      </c>
      <c r="AF70" s="7">
        <f>-1*B119</f>
        <v>999.99</v>
      </c>
      <c r="AG70" s="7">
        <v>999.99</v>
      </c>
      <c r="AH70" s="4">
        <f>AF70-AG70</f>
        <v>0</v>
      </c>
      <c r="AI70">
        <v>119</v>
      </c>
    </row>
    <row r="71" spans="1:35" x14ac:dyDescent="0.3">
      <c r="AD71">
        <v>3</v>
      </c>
      <c r="AE71" s="1">
        <f>DATE(2020,2,5)</f>
        <v>43866</v>
      </c>
      <c r="AF71" s="7">
        <f>-1*B150</f>
        <v>-526531.96822808124</v>
      </c>
      <c r="AG71" s="7">
        <v>-526531.9682</v>
      </c>
      <c r="AH71" s="4">
        <f>AF71-AG71</f>
        <v>-2.8081238269805908E-5</v>
      </c>
      <c r="AI71">
        <v>150</v>
      </c>
    </row>
    <row r="72" spans="1:35" x14ac:dyDescent="0.3">
      <c r="AD72">
        <v>3</v>
      </c>
      <c r="AE72" s="1">
        <f>DATE(2020,8,5)</f>
        <v>44048</v>
      </c>
      <c r="AF72" s="7">
        <f>-1*B151</f>
        <v>-526260.36165916524</v>
      </c>
      <c r="AG72" s="7">
        <v>-526260.36170000001</v>
      </c>
      <c r="AH72" s="4">
        <f>AF72-AG72</f>
        <v>4.0834769606590271E-5</v>
      </c>
      <c r="AI72">
        <v>151</v>
      </c>
    </row>
    <row r="73" spans="1:35" x14ac:dyDescent="0.3">
      <c r="AD73">
        <v>3</v>
      </c>
      <c r="AE73" s="1">
        <f>DATE(2021,2,5)</f>
        <v>44232</v>
      </c>
      <c r="AF73" s="7">
        <f>-1*B152</f>
        <v>-535305.86870181968</v>
      </c>
      <c r="AG73" s="7">
        <v>-535305.86869999999</v>
      </c>
      <c r="AH73" s="4">
        <f>AF73-AG73</f>
        <v>-1.8196878954768181E-6</v>
      </c>
      <c r="AI73">
        <v>152</v>
      </c>
    </row>
    <row r="74" spans="1:35" x14ac:dyDescent="0.3">
      <c r="AD74">
        <v>3</v>
      </c>
      <c r="AE74" s="1">
        <f>DATE(2021,8,5)</f>
        <v>44413</v>
      </c>
      <c r="AF74" s="7">
        <f>-1*B153</f>
        <v>-534992.36791179702</v>
      </c>
      <c r="AG74" s="7">
        <v>-534992.36789999995</v>
      </c>
      <c r="AH74" s="4">
        <f>AF74-AG74</f>
        <v>-1.1797063052654266E-5</v>
      </c>
      <c r="AI74">
        <v>153</v>
      </c>
    </row>
    <row r="75" spans="1:35" x14ac:dyDescent="0.3">
      <c r="AD75">
        <v>3</v>
      </c>
      <c r="AE75" s="1">
        <f>DATE(2022,2,7)</f>
        <v>44599</v>
      </c>
      <c r="AF75" s="7">
        <f>-1*B154</f>
        <v>-567211.10810834367</v>
      </c>
      <c r="AG75" s="7">
        <v>-567211.10809999995</v>
      </c>
      <c r="AH75" s="4">
        <f>AF75-AG75</f>
        <v>-8.343718945980072E-6</v>
      </c>
      <c r="AI75">
        <v>154</v>
      </c>
    </row>
    <row r="76" spans="1:35" x14ac:dyDescent="0.3">
      <c r="AD76">
        <v>3</v>
      </c>
      <c r="AE76" s="1">
        <f>DATE(2022,8,5)</f>
        <v>44778</v>
      </c>
      <c r="AF76" s="7">
        <f>-1*B155</f>
        <v>-585242.74229024083</v>
      </c>
      <c r="AG76" s="7">
        <v>-585242.74230000004</v>
      </c>
      <c r="AH76" s="4">
        <f>AF76-AG76</f>
        <v>9.7592128440737724E-6</v>
      </c>
      <c r="AI76">
        <v>155</v>
      </c>
    </row>
    <row r="77" spans="1:35" x14ac:dyDescent="0.3">
      <c r="AD77">
        <v>3</v>
      </c>
      <c r="AE77" s="1">
        <f>DATE(2023,2,6)</f>
        <v>44963</v>
      </c>
      <c r="AF77" s="7">
        <f>-1*B156</f>
        <v>-605630.5559357272</v>
      </c>
      <c r="AG77" s="7">
        <v>-605630.55590000004</v>
      </c>
      <c r="AH77" s="4">
        <f>AF77-AG77</f>
        <v>-3.5727163776755333E-5</v>
      </c>
      <c r="AI77">
        <v>156</v>
      </c>
    </row>
    <row r="78" spans="1:35" x14ac:dyDescent="0.3">
      <c r="AD78">
        <v>3</v>
      </c>
      <c r="AE78" s="1">
        <f>DATE(2023,8,7)</f>
        <v>45145</v>
      </c>
      <c r="AF78" s="7">
        <f>-1*B157</f>
        <v>-617556.6614355013</v>
      </c>
      <c r="AG78" s="7">
        <v>-617556.66139999998</v>
      </c>
      <c r="AH78" s="4">
        <f>AF78-AG78</f>
        <v>-3.5501318052411079E-5</v>
      </c>
      <c r="AI78">
        <v>157</v>
      </c>
    </row>
    <row r="79" spans="1:35" x14ac:dyDescent="0.3">
      <c r="AD79">
        <v>3</v>
      </c>
      <c r="AE79" s="1">
        <f>DATE(2024,2,5)</f>
        <v>45327</v>
      </c>
      <c r="AF79" s="7">
        <f>-1*B158</f>
        <v>-623263.78110682359</v>
      </c>
      <c r="AG79" s="7">
        <v>-623263.78110000002</v>
      </c>
      <c r="AH79" s="4">
        <f>AF79-AG79</f>
        <v>-6.8235676735639572E-6</v>
      </c>
      <c r="AI79">
        <v>158</v>
      </c>
    </row>
    <row r="80" spans="1:35" x14ac:dyDescent="0.3">
      <c r="AD80">
        <v>3</v>
      </c>
      <c r="AE80" s="1">
        <f>DATE(2024,8,5)</f>
        <v>45509</v>
      </c>
      <c r="AF80" s="7">
        <f>-1*B159</f>
        <v>-668061.25039954868</v>
      </c>
      <c r="AG80" s="7">
        <v>-668061.25040000002</v>
      </c>
      <c r="AH80" s="4">
        <f>AF80-AG80</f>
        <v>4.5134220272302628E-7</v>
      </c>
      <c r="AI80">
        <v>159</v>
      </c>
    </row>
    <row r="81" spans="1:35" x14ac:dyDescent="0.3">
      <c r="AD81">
        <v>3</v>
      </c>
      <c r="AE81" s="1">
        <f>DATE(2025,2,5)</f>
        <v>45693</v>
      </c>
      <c r="AF81" s="7">
        <f>-1*B160</f>
        <v>-678943.33032422455</v>
      </c>
      <c r="AG81" s="7">
        <v>-678943.33030000003</v>
      </c>
      <c r="AH81" s="4">
        <f>AF81-AG81</f>
        <v>-2.4224515073001385E-5</v>
      </c>
      <c r="AI81">
        <v>160</v>
      </c>
    </row>
    <row r="82" spans="1:35" x14ac:dyDescent="0.3">
      <c r="AD82">
        <v>3</v>
      </c>
      <c r="AE82" s="1">
        <f>DATE(2025,8,5)</f>
        <v>45874</v>
      </c>
      <c r="AF82" s="7">
        <f>-1*B161</f>
        <v>-703496.85617555073</v>
      </c>
      <c r="AG82" s="7">
        <v>-703496.85620000004</v>
      </c>
      <c r="AH82" s="4">
        <f>AF82-AG82</f>
        <v>2.4449313059449196E-5</v>
      </c>
      <c r="AI82">
        <v>161</v>
      </c>
    </row>
    <row r="83" spans="1:35" x14ac:dyDescent="0.3">
      <c r="AD83">
        <v>3</v>
      </c>
      <c r="AE83" s="1">
        <f>DATE(2026,2,5)</f>
        <v>46058</v>
      </c>
      <c r="AF83" s="7">
        <f>-1*B162</f>
        <v>-726206.97184154729</v>
      </c>
      <c r="AG83" s="7">
        <v>-726206.97180000006</v>
      </c>
      <c r="AH83" s="4">
        <f>AF83-AG83</f>
        <v>-4.1547231376171112E-5</v>
      </c>
      <c r="AI83">
        <v>162</v>
      </c>
    </row>
    <row r="84" spans="1:35" x14ac:dyDescent="0.3">
      <c r="AD84">
        <v>4</v>
      </c>
      <c r="AE84" s="1">
        <f>DATE(2026,2,5)</f>
        <v>46058</v>
      </c>
      <c r="AF84" s="7">
        <f>1*B181</f>
        <v>100000000</v>
      </c>
      <c r="AG84" s="7">
        <v>100000000</v>
      </c>
      <c r="AH84" s="4">
        <f>AF84-AG84</f>
        <v>0</v>
      </c>
      <c r="AI84">
        <v>181</v>
      </c>
    </row>
    <row r="85" spans="1:35" x14ac:dyDescent="0.3">
      <c r="AD85">
        <v>5</v>
      </c>
      <c r="AE85" s="1">
        <f>DATE(2020,2,5)</f>
        <v>43866</v>
      </c>
      <c r="AF85" s="7">
        <f>-1*B212</f>
        <v>89107802.997533455</v>
      </c>
      <c r="AG85" s="7">
        <v>89107802.997500002</v>
      </c>
      <c r="AH85" s="4">
        <f>AF85-AG85</f>
        <v>3.3453106880187988E-5</v>
      </c>
      <c r="AI85">
        <v>212</v>
      </c>
    </row>
    <row r="86" spans="1:35" x14ac:dyDescent="0.3">
      <c r="A86" s="2" t="s">
        <v>322</v>
      </c>
      <c r="AD86">
        <v>5</v>
      </c>
      <c r="AE86" s="1">
        <f>DATE(2020,8,5)</f>
        <v>44048</v>
      </c>
      <c r="AF86" s="7">
        <f>-1*B213</f>
        <v>88117687.900161177</v>
      </c>
      <c r="AG86" s="7">
        <v>88117687.900199994</v>
      </c>
      <c r="AH86" s="4">
        <f>AF86-AG86</f>
        <v>-3.8817524909973145E-5</v>
      </c>
      <c r="AI86">
        <v>213</v>
      </c>
    </row>
    <row r="87" spans="1:35" x14ac:dyDescent="0.3">
      <c r="A87" t="str" cm="1">
        <f t="array" ref="A87:T88">_xll.qlLegFlowAnalysis(B32,DATE(2019,12,30),$B$45)</f>
        <v>Payment Date</v>
      </c>
      <c r="B87" t="str">
        <v>Amount</v>
      </c>
      <c r="C87" t="str">
        <v>Nominal</v>
      </c>
      <c r="D87" t="str">
        <v>Accrual Start Date</v>
      </c>
      <c r="E87" t="str">
        <v>Accrual End Date</v>
      </c>
      <c r="F87" t="str">
        <v>Accrual Days</v>
      </c>
      <c r="G87" t="str">
        <v>Index</v>
      </c>
      <c r="H87" t="str">
        <v>Fixing Days</v>
      </c>
      <c r="I87" t="str">
        <v>Fixing Dates</v>
      </c>
      <c r="J87" t="str">
        <v>Day Counter</v>
      </c>
      <c r="K87" t="str">
        <v>Accrual Period</v>
      </c>
      <c r="L87" t="str">
        <v>Effective Rate</v>
      </c>
      <c r="M87" t="str">
        <v>Floor</v>
      </c>
      <c r="N87" t="str">
        <v>Gearing</v>
      </c>
      <c r="O87" t="str">
        <v>Index Fixing</v>
      </c>
      <c r="P87" t="str">
        <v>Conv. Adj.</v>
      </c>
      <c r="Q87" t="str">
        <v>Spread</v>
      </c>
      <c r="R87" t="str">
        <v>Cap</v>
      </c>
      <c r="S87" t="str">
        <v>Call Digital Payoff</v>
      </c>
      <c r="T87" t="str">
        <v>Put Digital Payoff</v>
      </c>
      <c r="AD87">
        <v>5</v>
      </c>
      <c r="AE87" s="1">
        <f>DATE(2021,2,5)</f>
        <v>44232</v>
      </c>
      <c r="AF87" s="7">
        <f>-1*B214</f>
        <v>87165006.561109066</v>
      </c>
      <c r="AG87" s="7">
        <v>87165006.561100006</v>
      </c>
      <c r="AH87" s="4">
        <f>AF87-AG87</f>
        <v>9.059906005859375E-6</v>
      </c>
      <c r="AI87">
        <v>214</v>
      </c>
    </row>
    <row r="88" spans="1:35" x14ac:dyDescent="0.3">
      <c r="A88">
        <v>43866</v>
      </c>
      <c r="B88">
        <v>999.99</v>
      </c>
      <c r="C88" t="str">
        <v>#N/A</v>
      </c>
      <c r="D88" t="str">
        <v>#N/A</v>
      </c>
      <c r="E88" t="str">
        <v>#N/A</v>
      </c>
      <c r="F88" t="str">
        <v>#N/A</v>
      </c>
      <c r="G88" t="str">
        <v>#N/A</v>
      </c>
      <c r="H88" t="str">
        <v>#N/A</v>
      </c>
      <c r="I88" t="str">
        <v>#N/A</v>
      </c>
      <c r="J88" t="str">
        <v>#N/A</v>
      </c>
      <c r="K88" t="str">
        <v>#N/A</v>
      </c>
      <c r="L88" t="str">
        <v>#N/A</v>
      </c>
      <c r="M88" t="str">
        <v>#N/A</v>
      </c>
      <c r="N88" t="str">
        <v>#N/A</v>
      </c>
      <c r="O88" t="str">
        <v>#N/A</v>
      </c>
      <c r="P88" t="str">
        <v>#N/A</v>
      </c>
      <c r="Q88" t="str">
        <v>#N/A</v>
      </c>
      <c r="R88" t="str">
        <v>#N/A</v>
      </c>
      <c r="S88" t="str">
        <v>#N/A</v>
      </c>
      <c r="T88" t="str">
        <v>#N/A</v>
      </c>
      <c r="AD88">
        <v>5</v>
      </c>
      <c r="AE88" s="1">
        <f>DATE(2021,8,5)</f>
        <v>44413</v>
      </c>
      <c r="AF88" s="7">
        <f>-1*B215</f>
        <v>86298467.294346094</v>
      </c>
      <c r="AG88" s="7">
        <v>86298467.294300005</v>
      </c>
      <c r="AH88" s="4">
        <f>AF88-AG88</f>
        <v>4.6089291572570801E-5</v>
      </c>
      <c r="AI88">
        <v>215</v>
      </c>
    </row>
    <row r="89" spans="1:35" x14ac:dyDescent="0.3">
      <c r="AD89">
        <v>5</v>
      </c>
      <c r="AE89" s="1">
        <f>DATE(2022,2,7)</f>
        <v>44599</v>
      </c>
      <c r="AF89" s="7">
        <f>-1*B216</f>
        <v>85333177.995382458</v>
      </c>
      <c r="AG89" s="7">
        <v>85333177.995399997</v>
      </c>
      <c r="AH89" s="4">
        <f>AF89-AG89</f>
        <v>-1.7538666725158691E-5</v>
      </c>
      <c r="AI89">
        <v>216</v>
      </c>
    </row>
    <row r="90" spans="1:35" x14ac:dyDescent="0.3">
      <c r="AD90">
        <v>5</v>
      </c>
      <c r="AE90" s="1">
        <f>DATE(2022,8,5)</f>
        <v>44778</v>
      </c>
      <c r="AF90" s="7">
        <f>-1*B217</f>
        <v>84505067.953783557</v>
      </c>
      <c r="AG90" s="7">
        <v>84505067.953799993</v>
      </c>
      <c r="AH90" s="4">
        <f>AF90-AG90</f>
        <v>-1.6435980796813965E-5</v>
      </c>
      <c r="AI90">
        <v>217</v>
      </c>
    </row>
    <row r="91" spans="1:35" x14ac:dyDescent="0.3">
      <c r="AD91">
        <v>5</v>
      </c>
      <c r="AE91" s="1">
        <f>DATE(2023,2,6)</f>
        <v>44963</v>
      </c>
      <c r="AF91" s="7">
        <f>-1*B218</f>
        <v>83657802.465392172</v>
      </c>
      <c r="AG91" s="7">
        <v>83657802.465399995</v>
      </c>
      <c r="AH91" s="4">
        <f>AF91-AG91</f>
        <v>-7.8231096267700195E-6</v>
      </c>
      <c r="AI91">
        <v>218</v>
      </c>
    </row>
    <row r="92" spans="1:35" x14ac:dyDescent="0.3">
      <c r="AD92">
        <v>5</v>
      </c>
      <c r="AE92" s="1">
        <f>DATE(2023,8,7)</f>
        <v>45145</v>
      </c>
      <c r="AF92" s="7">
        <f>-1*B219</f>
        <v>82833251.618324071</v>
      </c>
      <c r="AG92" s="7">
        <v>82833251.618300006</v>
      </c>
      <c r="AH92" s="4">
        <f>AF92-AG92</f>
        <v>2.4065375328063965E-5</v>
      </c>
      <c r="AI92">
        <v>219</v>
      </c>
    </row>
    <row r="93" spans="1:35" x14ac:dyDescent="0.3">
      <c r="AD93">
        <v>5</v>
      </c>
      <c r="AE93" s="1">
        <f>DATE(2024,2,5)</f>
        <v>45327</v>
      </c>
      <c r="AF93" s="7">
        <f>-1*B220</f>
        <v>82027750.935712904</v>
      </c>
      <c r="AG93" s="7">
        <v>82027750.935699999</v>
      </c>
      <c r="AH93" s="4">
        <f>AF93-AG93</f>
        <v>1.290440559387207E-5</v>
      </c>
      <c r="AI93">
        <v>220</v>
      </c>
    </row>
    <row r="94" spans="1:35" x14ac:dyDescent="0.3">
      <c r="AD94">
        <v>5</v>
      </c>
      <c r="AE94" s="1">
        <f>DATE(2024,8,5)</f>
        <v>45509</v>
      </c>
      <c r="AF94" s="7">
        <f>-1*B221</f>
        <v>81277185.688232139</v>
      </c>
      <c r="AG94" s="7">
        <v>81277185.688199997</v>
      </c>
      <c r="AH94" s="4">
        <f>AF94-AG94</f>
        <v>3.2141804695129395E-5</v>
      </c>
      <c r="AI94">
        <v>221</v>
      </c>
    </row>
    <row r="95" spans="1:35" x14ac:dyDescent="0.3">
      <c r="AD95">
        <v>5</v>
      </c>
      <c r="AE95" s="1">
        <f>DATE(2025,2,5)</f>
        <v>45693</v>
      </c>
      <c r="AF95" s="7">
        <f>-1*B222</f>
        <v>80524548.558999598</v>
      </c>
      <c r="AG95" s="7">
        <v>80524548.559</v>
      </c>
      <c r="AH95" s="4">
        <f>AF95-AG95</f>
        <v>-4.0233135223388672E-7</v>
      </c>
      <c r="AI95">
        <v>222</v>
      </c>
    </row>
    <row r="96" spans="1:35" x14ac:dyDescent="0.3">
      <c r="AD96">
        <v>5</v>
      </c>
      <c r="AE96" s="1">
        <f>DATE(2025,8,5)</f>
        <v>45874</v>
      </c>
      <c r="AF96" s="7">
        <f>-1*B223</f>
        <v>79787521.061215088</v>
      </c>
      <c r="AG96" s="7">
        <v>79787521.061199993</v>
      </c>
      <c r="AH96" s="4">
        <f>AF96-AG96</f>
        <v>1.5094876289367676E-5</v>
      </c>
      <c r="AI96">
        <v>223</v>
      </c>
    </row>
    <row r="97" spans="30:35" x14ac:dyDescent="0.3">
      <c r="AD97">
        <v>5</v>
      </c>
      <c r="AE97" s="1">
        <f>DATE(2020,2,5)</f>
        <v>43866</v>
      </c>
      <c r="AF97" s="7">
        <f>-1*B224</f>
        <v>-90604330.887016401</v>
      </c>
      <c r="AG97" s="7">
        <v>-90604330.886999995</v>
      </c>
      <c r="AH97" s="4">
        <f>AF97-AG97</f>
        <v>-1.640617847442627E-5</v>
      </c>
      <c r="AI97">
        <v>224</v>
      </c>
    </row>
    <row r="98" spans="30:35" x14ac:dyDescent="0.3">
      <c r="AD98">
        <v>5</v>
      </c>
      <c r="AE98" s="1">
        <f>DATE(2020,8,5)</f>
        <v>44048</v>
      </c>
      <c r="AF98" s="7">
        <f>-1*B225</f>
        <v>-89107802.997533455</v>
      </c>
      <c r="AG98" s="7">
        <v>-89107802.997500002</v>
      </c>
      <c r="AH98" s="4">
        <f>AF98-AG98</f>
        <v>-3.3453106880187988E-5</v>
      </c>
      <c r="AI98">
        <v>225</v>
      </c>
    </row>
    <row r="99" spans="30:35" x14ac:dyDescent="0.3">
      <c r="AD99">
        <v>5</v>
      </c>
      <c r="AE99" s="1">
        <f>DATE(2021,2,5)</f>
        <v>44232</v>
      </c>
      <c r="AF99" s="7">
        <f>-1*B226</f>
        <v>-88117687.900161177</v>
      </c>
      <c r="AG99" s="7">
        <v>-88117687.900199994</v>
      </c>
      <c r="AH99" s="4">
        <f>AF99-AG99</f>
        <v>3.8817524909973145E-5</v>
      </c>
      <c r="AI99">
        <v>226</v>
      </c>
    </row>
    <row r="100" spans="30:35" x14ac:dyDescent="0.3">
      <c r="AD100">
        <v>5</v>
      </c>
      <c r="AE100" s="1">
        <f>DATE(2021,8,5)</f>
        <v>44413</v>
      </c>
      <c r="AF100" s="7">
        <f>-1*B227</f>
        <v>-87165006.561109066</v>
      </c>
      <c r="AG100" s="7">
        <v>-87165006.561100006</v>
      </c>
      <c r="AH100" s="4">
        <f>AF100-AG100</f>
        <v>-9.059906005859375E-6</v>
      </c>
      <c r="AI100">
        <v>227</v>
      </c>
    </row>
    <row r="101" spans="30:35" x14ac:dyDescent="0.3">
      <c r="AD101">
        <v>5</v>
      </c>
      <c r="AE101" s="1">
        <f>DATE(2022,2,7)</f>
        <v>44599</v>
      </c>
      <c r="AF101" s="7">
        <f>-1*B228</f>
        <v>-86298467.294346094</v>
      </c>
      <c r="AG101" s="7">
        <v>-86298467.294300005</v>
      </c>
      <c r="AH101" s="4">
        <f>AF101-AG101</f>
        <v>-4.6089291572570801E-5</v>
      </c>
      <c r="AI101">
        <v>228</v>
      </c>
    </row>
    <row r="102" spans="30:35" x14ac:dyDescent="0.3">
      <c r="AD102">
        <v>5</v>
      </c>
      <c r="AE102" s="1">
        <f>DATE(2022,8,5)</f>
        <v>44778</v>
      </c>
      <c r="AF102" s="7">
        <f>-1*B229</f>
        <v>-85333177.995382458</v>
      </c>
      <c r="AG102" s="7">
        <v>-85333177.995399997</v>
      </c>
      <c r="AH102" s="4">
        <f>AF102-AG102</f>
        <v>1.7538666725158691E-5</v>
      </c>
      <c r="AI102">
        <v>229</v>
      </c>
    </row>
    <row r="103" spans="30:35" x14ac:dyDescent="0.3">
      <c r="AD103">
        <v>5</v>
      </c>
      <c r="AE103" s="1">
        <f>DATE(2023,2,6)</f>
        <v>44963</v>
      </c>
      <c r="AF103" s="7">
        <f>-1*B230</f>
        <v>-84505067.953783557</v>
      </c>
      <c r="AG103" s="7">
        <v>-84505067.953799993</v>
      </c>
      <c r="AH103" s="4">
        <f>AF103-AG103</f>
        <v>1.6435980796813965E-5</v>
      </c>
      <c r="AI103">
        <v>230</v>
      </c>
    </row>
    <row r="104" spans="30:35" x14ac:dyDescent="0.3">
      <c r="AD104">
        <v>5</v>
      </c>
      <c r="AE104" s="1">
        <f>DATE(2023,8,7)</f>
        <v>45145</v>
      </c>
      <c r="AF104" s="7">
        <f>-1*B231</f>
        <v>-83657802.465392172</v>
      </c>
      <c r="AG104" s="7">
        <v>-83657802.465399995</v>
      </c>
      <c r="AH104" s="4">
        <f>AF104-AG104</f>
        <v>7.8231096267700195E-6</v>
      </c>
      <c r="AI104">
        <v>231</v>
      </c>
    </row>
    <row r="105" spans="30:35" x14ac:dyDescent="0.3">
      <c r="AD105">
        <v>5</v>
      </c>
      <c r="AE105" s="1">
        <f>DATE(2024,2,5)</f>
        <v>45327</v>
      </c>
      <c r="AF105" s="7">
        <f>-1*B232</f>
        <v>-82833251.618324071</v>
      </c>
      <c r="AG105" s="7">
        <v>-82833251.618300006</v>
      </c>
      <c r="AH105" s="4">
        <f>AF105-AG105</f>
        <v>-2.4065375328063965E-5</v>
      </c>
      <c r="AI105">
        <v>232</v>
      </c>
    </row>
    <row r="106" spans="30:35" x14ac:dyDescent="0.3">
      <c r="AD106">
        <v>5</v>
      </c>
      <c r="AE106" s="1">
        <f>DATE(2024,8,5)</f>
        <v>45509</v>
      </c>
      <c r="AF106" s="7">
        <f>-1*B233</f>
        <v>-82027750.935712904</v>
      </c>
      <c r="AG106" s="7">
        <v>-82027750.935699999</v>
      </c>
      <c r="AH106" s="4">
        <f>AF106-AG106</f>
        <v>-1.290440559387207E-5</v>
      </c>
      <c r="AI106">
        <v>233</v>
      </c>
    </row>
    <row r="107" spans="30:35" x14ac:dyDescent="0.3">
      <c r="AD107">
        <v>5</v>
      </c>
      <c r="AE107" s="1">
        <f>DATE(2025,2,5)</f>
        <v>45693</v>
      </c>
      <c r="AF107" s="7">
        <f>-1*B234</f>
        <v>-81277185.688232139</v>
      </c>
      <c r="AG107" s="7">
        <v>-81277185.688199997</v>
      </c>
      <c r="AH107" s="4">
        <f>AF107-AG107</f>
        <v>-3.2141804695129395E-5</v>
      </c>
      <c r="AI107">
        <v>234</v>
      </c>
    </row>
    <row r="108" spans="30:35" x14ac:dyDescent="0.3">
      <c r="AD108">
        <v>5</v>
      </c>
      <c r="AE108" s="1">
        <f>DATE(2025,8,5)</f>
        <v>45874</v>
      </c>
      <c r="AF108" s="7">
        <f>-1*B235</f>
        <v>-80524548.558999598</v>
      </c>
      <c r="AG108" s="7">
        <v>-80524548.559</v>
      </c>
      <c r="AH108" s="4">
        <f>AF108-AG108</f>
        <v>4.0233135223388672E-7</v>
      </c>
      <c r="AI108">
        <v>235</v>
      </c>
    </row>
    <row r="109" spans="30:35" x14ac:dyDescent="0.3">
      <c r="AD109">
        <v>5</v>
      </c>
      <c r="AE109" s="1">
        <f>DATE(2026,2,5)</f>
        <v>46058</v>
      </c>
      <c r="AF109" s="7">
        <f>-1*B236</f>
        <v>-79787521.061215088</v>
      </c>
      <c r="AG109" s="7">
        <v>-79787521.061199993</v>
      </c>
      <c r="AH109" s="4">
        <f>AF109-AG109</f>
        <v>-1.5094876289367676E-5</v>
      </c>
      <c r="AI109">
        <v>236</v>
      </c>
    </row>
    <row r="110" spans="30:35" x14ac:dyDescent="0.3">
      <c r="AH110" s="4"/>
    </row>
    <row r="111" spans="30:35" x14ac:dyDescent="0.3">
      <c r="AD111" t="s">
        <v>265</v>
      </c>
      <c r="AH111" s="4">
        <f>MAX(ABS(MIN(AH56:AH109)),ABS(MAX(AH56:AH109)))</f>
        <v>4.6089291572570801E-5</v>
      </c>
    </row>
    <row r="117" spans="1:20" x14ac:dyDescent="0.3">
      <c r="A117" s="2" t="s">
        <v>323</v>
      </c>
    </row>
    <row r="118" spans="1:20" x14ac:dyDescent="0.3">
      <c r="A118" t="str" cm="1">
        <f t="array" ref="A118:T119">_xll.qlLegFlowAnalysis(B33,DATE(2019,12,30),$B$45)</f>
        <v>Payment Date</v>
      </c>
      <c r="B118" t="str">
        <v>Amount</v>
      </c>
      <c r="C118" t="str">
        <v>Nominal</v>
      </c>
      <c r="D118" t="str">
        <v>Accrual Start Date</v>
      </c>
      <c r="E118" t="str">
        <v>Accrual End Date</v>
      </c>
      <c r="F118" t="str">
        <v>Accrual Days</v>
      </c>
      <c r="G118" t="str">
        <v>Index</v>
      </c>
      <c r="H118" t="str">
        <v>Fixing Days</v>
      </c>
      <c r="I118" t="str">
        <v>Fixing Dates</v>
      </c>
      <c r="J118" t="str">
        <v>Day Counter</v>
      </c>
      <c r="K118" t="str">
        <v>Accrual Period</v>
      </c>
      <c r="L118" t="str">
        <v>Effective Rate</v>
      </c>
      <c r="M118" t="str">
        <v>Floor</v>
      </c>
      <c r="N118" t="str">
        <v>Gearing</v>
      </c>
      <c r="O118" t="str">
        <v>Index Fixing</v>
      </c>
      <c r="P118" t="str">
        <v>Conv. Adj.</v>
      </c>
      <c r="Q118" t="str">
        <v>Spread</v>
      </c>
      <c r="R118" t="str">
        <v>Cap</v>
      </c>
      <c r="S118" t="str">
        <v>Call Digital Payoff</v>
      </c>
      <c r="T118" t="str">
        <v>Put Digital Payoff</v>
      </c>
    </row>
    <row r="119" spans="1:20" x14ac:dyDescent="0.3">
      <c r="A119">
        <v>43866</v>
      </c>
      <c r="B119">
        <v>-999.99</v>
      </c>
      <c r="C119" t="str">
        <v>#N/A</v>
      </c>
      <c r="D119" t="str">
        <v>#N/A</v>
      </c>
      <c r="E119" t="str">
        <v>#N/A</v>
      </c>
      <c r="F119" t="str">
        <v>#N/A</v>
      </c>
      <c r="G119" t="str">
        <v>#N/A</v>
      </c>
      <c r="H119" t="str">
        <v>#N/A</v>
      </c>
      <c r="I119" t="str">
        <v>#N/A</v>
      </c>
      <c r="J119" t="str">
        <v>#N/A</v>
      </c>
      <c r="K119" t="str">
        <v>#N/A</v>
      </c>
      <c r="L119" t="str">
        <v>#N/A</v>
      </c>
      <c r="M119" t="str">
        <v>#N/A</v>
      </c>
      <c r="N119" t="str">
        <v>#N/A</v>
      </c>
      <c r="O119" t="str">
        <v>#N/A</v>
      </c>
      <c r="P119" t="str">
        <v>#N/A</v>
      </c>
      <c r="Q119" t="str">
        <v>#N/A</v>
      </c>
      <c r="R119" t="str">
        <v>#N/A</v>
      </c>
      <c r="S119" t="str">
        <v>#N/A</v>
      </c>
      <c r="T119" t="str">
        <v>#N/A</v>
      </c>
    </row>
    <row r="148" spans="1:20" x14ac:dyDescent="0.3">
      <c r="A148" s="2" t="s">
        <v>324</v>
      </c>
    </row>
    <row r="149" spans="1:20" x14ac:dyDescent="0.3">
      <c r="A149" t="str" cm="1">
        <f t="array" ref="A149:T162">_xll.qlLegFlowAnalysis(B35,DATE(2019,12,30),$B$45)</f>
        <v>Payment Date</v>
      </c>
      <c r="B149" t="str">
        <v>Amount</v>
      </c>
      <c r="C149" t="str">
        <v>Nominal</v>
      </c>
      <c r="D149" t="str">
        <v>Accrual Start Date</v>
      </c>
      <c r="E149" t="str">
        <v>Accrual End Date</v>
      </c>
      <c r="F149" t="str">
        <v>Accrual Days</v>
      </c>
      <c r="G149" t="str">
        <v>Index</v>
      </c>
      <c r="H149" t="str">
        <v>Fixing Days</v>
      </c>
      <c r="I149" t="str">
        <v>Fixing Dates</v>
      </c>
      <c r="J149" t="str">
        <v>Day Counter</v>
      </c>
      <c r="K149" t="str">
        <v>Accrual Period</v>
      </c>
      <c r="L149" t="str">
        <v>Effective Rate</v>
      </c>
      <c r="M149" t="str">
        <v>Floor</v>
      </c>
      <c r="N149" t="str">
        <v>Gearing</v>
      </c>
      <c r="O149" t="str">
        <v>Index Fixing</v>
      </c>
      <c r="P149" t="str">
        <v>Conv. Adj.</v>
      </c>
      <c r="Q149" t="str">
        <v>Spread</v>
      </c>
      <c r="R149" t="str">
        <v>Cap</v>
      </c>
      <c r="S149" t="str">
        <v>Call Digital Payoff</v>
      </c>
      <c r="T149" t="str">
        <v>Put Digital Payoff</v>
      </c>
    </row>
    <row r="150" spans="1:20" x14ac:dyDescent="0.3">
      <c r="A150">
        <v>43866</v>
      </c>
      <c r="B150">
        <v>526531.96822808124</v>
      </c>
      <c r="C150">
        <v>90604330.887016401</v>
      </c>
      <c r="D150">
        <v>43682</v>
      </c>
      <c r="E150">
        <v>43866</v>
      </c>
      <c r="F150">
        <v>184</v>
      </c>
      <c r="G150" t="str">
        <v>Euribor6M Actual/360</v>
      </c>
      <c r="H150">
        <v>2</v>
      </c>
      <c r="I150">
        <v>43678</v>
      </c>
      <c r="J150" t="str">
        <v>Actual/360</v>
      </c>
      <c r="K150">
        <v>0.51111111111111107</v>
      </c>
      <c r="L150">
        <v>1.137E-2</v>
      </c>
      <c r="M150" t="str">
        <v>#N/A</v>
      </c>
      <c r="N150">
        <v>1</v>
      </c>
      <c r="O150">
        <v>-3.63E-3</v>
      </c>
      <c r="P150">
        <v>4.3368086899420177E-19</v>
      </c>
      <c r="Q150">
        <v>1.4999999999999999E-2</v>
      </c>
      <c r="R150" t="str">
        <v>#N/A</v>
      </c>
      <c r="S150" t="str">
        <v>#N/A</v>
      </c>
      <c r="T150" t="str">
        <v>#N/A</v>
      </c>
    </row>
    <row r="151" spans="1:20" x14ac:dyDescent="0.3">
      <c r="A151">
        <v>44048</v>
      </c>
      <c r="B151">
        <v>526260.36165916524</v>
      </c>
      <c r="C151">
        <v>89107802.997533455</v>
      </c>
      <c r="D151">
        <v>43866</v>
      </c>
      <c r="E151">
        <v>44048</v>
      </c>
      <c r="F151">
        <v>182</v>
      </c>
      <c r="G151" t="str">
        <v>Euribor6M Actual/360</v>
      </c>
      <c r="H151">
        <v>2</v>
      </c>
      <c r="I151">
        <v>43864</v>
      </c>
      <c r="J151" t="str">
        <v>Actual/360</v>
      </c>
      <c r="K151">
        <v>0.50555555555555554</v>
      </c>
      <c r="L151">
        <v>1.1681968654893642E-2</v>
      </c>
      <c r="M151" t="str">
        <v>#N/A</v>
      </c>
      <c r="N151">
        <v>1</v>
      </c>
      <c r="O151">
        <v>-3.3180313451063571E-3</v>
      </c>
      <c r="P151">
        <v>-4.3368086899420177E-19</v>
      </c>
      <c r="Q151">
        <v>1.4999999999999999E-2</v>
      </c>
      <c r="R151" t="str">
        <v>#N/A</v>
      </c>
      <c r="S151" t="str">
        <v>#N/A</v>
      </c>
      <c r="T151" t="str">
        <v>#N/A</v>
      </c>
    </row>
    <row r="152" spans="1:20" x14ac:dyDescent="0.3">
      <c r="A152">
        <v>44232</v>
      </c>
      <c r="B152">
        <v>535305.86870181968</v>
      </c>
      <c r="C152">
        <v>88117687.900161177</v>
      </c>
      <c r="D152">
        <v>44048</v>
      </c>
      <c r="E152">
        <v>44232</v>
      </c>
      <c r="F152">
        <v>184</v>
      </c>
      <c r="G152" t="str">
        <v>Euribor6M Actual/360</v>
      </c>
      <c r="H152">
        <v>2</v>
      </c>
      <c r="I152">
        <v>44046</v>
      </c>
      <c r="J152" t="str">
        <v>Actual/360</v>
      </c>
      <c r="K152">
        <v>0.51111111111111107</v>
      </c>
      <c r="L152">
        <v>1.1885667839876411E-2</v>
      </c>
      <c r="M152" t="str">
        <v>#N/A</v>
      </c>
      <c r="N152">
        <v>1</v>
      </c>
      <c r="O152">
        <v>-3.1143321601235885E-3</v>
      </c>
      <c r="P152">
        <v>-4.3368086899420177E-19</v>
      </c>
      <c r="Q152">
        <v>1.4999999999999999E-2</v>
      </c>
      <c r="R152" t="str">
        <v>#N/A</v>
      </c>
      <c r="S152" t="str">
        <v>#N/A</v>
      </c>
      <c r="T152" t="str">
        <v>#N/A</v>
      </c>
    </row>
    <row r="153" spans="1:20" x14ac:dyDescent="0.3">
      <c r="A153">
        <v>44413</v>
      </c>
      <c r="B153">
        <v>534992.36791179702</v>
      </c>
      <c r="C153">
        <v>87165006.561109066</v>
      </c>
      <c r="D153">
        <v>44232</v>
      </c>
      <c r="E153">
        <v>44413</v>
      </c>
      <c r="F153">
        <v>181</v>
      </c>
      <c r="G153" t="str">
        <v>Euribor6M Actual/360</v>
      </c>
      <c r="H153">
        <v>2</v>
      </c>
      <c r="I153">
        <v>44230</v>
      </c>
      <c r="J153" t="str">
        <v>Actual/360</v>
      </c>
      <c r="K153">
        <v>0.50277777777777777</v>
      </c>
      <c r="L153">
        <v>1.2207573427991681E-2</v>
      </c>
      <c r="M153" t="str">
        <v>#N/A</v>
      </c>
      <c r="N153">
        <v>1</v>
      </c>
      <c r="O153">
        <v>-2.7924265720083181E-3</v>
      </c>
      <c r="P153">
        <v>0</v>
      </c>
      <c r="Q153">
        <v>1.4999999999999999E-2</v>
      </c>
      <c r="R153" t="str">
        <v>#N/A</v>
      </c>
      <c r="S153" t="str">
        <v>#N/A</v>
      </c>
      <c r="T153" t="str">
        <v>#N/A</v>
      </c>
    </row>
    <row r="154" spans="1:20" x14ac:dyDescent="0.3">
      <c r="A154">
        <v>44599</v>
      </c>
      <c r="B154">
        <v>567211.10810834367</v>
      </c>
      <c r="C154">
        <v>86298467.294346094</v>
      </c>
      <c r="D154">
        <v>44413</v>
      </c>
      <c r="E154">
        <v>44599</v>
      </c>
      <c r="F154">
        <v>186</v>
      </c>
      <c r="G154" t="str">
        <v>Euribor6M Actual/360</v>
      </c>
      <c r="H154">
        <v>2</v>
      </c>
      <c r="I154">
        <v>44411</v>
      </c>
      <c r="J154" t="str">
        <v>Actual/360</v>
      </c>
      <c r="K154">
        <v>0.51666666666666672</v>
      </c>
      <c r="L154">
        <v>1.2721291415674589E-2</v>
      </c>
      <c r="M154" t="str">
        <v>#N/A</v>
      </c>
      <c r="N154">
        <v>1</v>
      </c>
      <c r="O154">
        <v>-2.2787085843254105E-3</v>
      </c>
      <c r="P154">
        <v>4.3368086899420177E-19</v>
      </c>
      <c r="Q154">
        <v>1.4999999999999999E-2</v>
      </c>
      <c r="R154" t="str">
        <v>#N/A</v>
      </c>
      <c r="S154" t="str">
        <v>#N/A</v>
      </c>
      <c r="T154" t="str">
        <v>#N/A</v>
      </c>
    </row>
    <row r="155" spans="1:20" x14ac:dyDescent="0.3">
      <c r="A155">
        <v>44778</v>
      </c>
      <c r="B155">
        <v>585242.74229024083</v>
      </c>
      <c r="C155">
        <v>85333177.995382458</v>
      </c>
      <c r="D155">
        <v>44599</v>
      </c>
      <c r="E155">
        <v>44778</v>
      </c>
      <c r="F155">
        <v>179</v>
      </c>
      <c r="G155" t="str">
        <v>Euribor6M Actual/360</v>
      </c>
      <c r="H155">
        <v>2</v>
      </c>
      <c r="I155">
        <v>44595</v>
      </c>
      <c r="J155" t="str">
        <v>Actual/360</v>
      </c>
      <c r="K155">
        <v>0.49722222222222223</v>
      </c>
      <c r="L155">
        <v>1.3793281081101829E-2</v>
      </c>
      <c r="M155" t="str">
        <v>#N/A</v>
      </c>
      <c r="N155">
        <v>1</v>
      </c>
      <c r="O155">
        <v>-1.2067189188981701E-3</v>
      </c>
      <c r="P155">
        <v>0</v>
      </c>
      <c r="Q155">
        <v>1.4999999999999999E-2</v>
      </c>
      <c r="R155" t="str">
        <v>#N/A</v>
      </c>
      <c r="S155" t="str">
        <v>#N/A</v>
      </c>
      <c r="T155" t="str">
        <v>#N/A</v>
      </c>
    </row>
    <row r="156" spans="1:20" x14ac:dyDescent="0.3">
      <c r="A156">
        <v>44963</v>
      </c>
      <c r="B156">
        <v>605630.5559357272</v>
      </c>
      <c r="C156">
        <v>84505067.953783557</v>
      </c>
      <c r="D156">
        <v>44778</v>
      </c>
      <c r="E156">
        <v>44963</v>
      </c>
      <c r="F156">
        <v>185</v>
      </c>
      <c r="G156" t="str">
        <v>Euribor6M Actual/360</v>
      </c>
      <c r="H156">
        <v>2</v>
      </c>
      <c r="I156">
        <v>44776</v>
      </c>
      <c r="J156" t="str">
        <v>Actual/360</v>
      </c>
      <c r="K156">
        <v>0.51388888888888884</v>
      </c>
      <c r="L156">
        <v>1.3946196998606776E-2</v>
      </c>
      <c r="M156" t="str">
        <v>#N/A</v>
      </c>
      <c r="N156">
        <v>1</v>
      </c>
      <c r="O156">
        <v>-1.0538030013932237E-3</v>
      </c>
      <c r="P156">
        <v>6.5052130349130266E-19</v>
      </c>
      <c r="Q156">
        <v>1.4999999999999999E-2</v>
      </c>
      <c r="R156" t="str">
        <v>#N/A</v>
      </c>
      <c r="S156" t="str">
        <v>#N/A</v>
      </c>
      <c r="T156" t="str">
        <v>#N/A</v>
      </c>
    </row>
    <row r="157" spans="1:20" x14ac:dyDescent="0.3">
      <c r="A157">
        <v>45145</v>
      </c>
      <c r="B157">
        <v>617556.6614355013</v>
      </c>
      <c r="C157">
        <v>83657802.465392172</v>
      </c>
      <c r="D157">
        <v>44963</v>
      </c>
      <c r="E157">
        <v>45145</v>
      </c>
      <c r="F157">
        <v>182</v>
      </c>
      <c r="G157" t="str">
        <v>Euribor6M Actual/360</v>
      </c>
      <c r="H157">
        <v>2</v>
      </c>
      <c r="I157">
        <v>44959</v>
      </c>
      <c r="J157" t="str">
        <v>Actual/360</v>
      </c>
      <c r="K157">
        <v>0.50555555555555554</v>
      </c>
      <c r="L157">
        <v>1.4601634432109668E-2</v>
      </c>
      <c r="M157" t="str">
        <v>#N/A</v>
      </c>
      <c r="N157">
        <v>1</v>
      </c>
      <c r="O157">
        <v>-3.9836556789033125E-4</v>
      </c>
      <c r="P157">
        <v>-2.1684043449710089E-19</v>
      </c>
      <c r="Q157">
        <v>1.4999999999999999E-2</v>
      </c>
      <c r="R157" t="str">
        <v>#N/A</v>
      </c>
      <c r="S157" t="str">
        <v>#N/A</v>
      </c>
      <c r="T157" t="str">
        <v>#N/A</v>
      </c>
    </row>
    <row r="158" spans="1:20" x14ac:dyDescent="0.3">
      <c r="A158">
        <v>45327</v>
      </c>
      <c r="B158">
        <v>623263.78110682359</v>
      </c>
      <c r="C158">
        <v>82833251.618324071</v>
      </c>
      <c r="D158">
        <v>45145</v>
      </c>
      <c r="E158">
        <v>45327</v>
      </c>
      <c r="F158">
        <v>182</v>
      </c>
      <c r="G158" t="str">
        <v>Euribor6M Actual/360</v>
      </c>
      <c r="H158">
        <v>2</v>
      </c>
      <c r="I158">
        <v>45141</v>
      </c>
      <c r="J158" t="str">
        <v>Actual/360</v>
      </c>
      <c r="K158">
        <v>0.50555555555555554</v>
      </c>
      <c r="L158">
        <v>1.4883267685964588E-2</v>
      </c>
      <c r="M158" t="str">
        <v>#N/A</v>
      </c>
      <c r="N158">
        <v>1</v>
      </c>
      <c r="O158">
        <v>-1.1673231403541218E-4</v>
      </c>
      <c r="P158">
        <v>3.2526065174565133E-19</v>
      </c>
      <c r="Q158">
        <v>1.4999999999999999E-2</v>
      </c>
      <c r="R158" t="str">
        <v>#N/A</v>
      </c>
      <c r="S158" t="str">
        <v>#N/A</v>
      </c>
      <c r="T158" t="str">
        <v>#N/A</v>
      </c>
    </row>
    <row r="159" spans="1:20" x14ac:dyDescent="0.3">
      <c r="A159">
        <v>45509</v>
      </c>
      <c r="B159">
        <v>668061.25039954868</v>
      </c>
      <c r="C159">
        <v>82027750.935712904</v>
      </c>
      <c r="D159">
        <v>45327</v>
      </c>
      <c r="E159">
        <v>45509</v>
      </c>
      <c r="F159">
        <v>182</v>
      </c>
      <c r="G159" t="str">
        <v>Euribor6M Actual/360</v>
      </c>
      <c r="H159">
        <v>2</v>
      </c>
      <c r="I159">
        <v>45323</v>
      </c>
      <c r="J159" t="str">
        <v>Actual/360</v>
      </c>
      <c r="K159">
        <v>0.50555555555555554</v>
      </c>
      <c r="L159">
        <v>1.6109668019433997E-2</v>
      </c>
      <c r="M159" t="str">
        <v>#N/A</v>
      </c>
      <c r="N159">
        <v>1</v>
      </c>
      <c r="O159">
        <v>1.1096680194339985E-3</v>
      </c>
      <c r="P159">
        <v>-1.3010426069826053E-18</v>
      </c>
      <c r="Q159">
        <v>1.4999999999999999E-2</v>
      </c>
      <c r="R159" t="str">
        <v>#N/A</v>
      </c>
      <c r="S159" t="str">
        <v>#N/A</v>
      </c>
      <c r="T159" t="str">
        <v>#N/A</v>
      </c>
    </row>
    <row r="160" spans="1:20" x14ac:dyDescent="0.3">
      <c r="A160">
        <v>45693</v>
      </c>
      <c r="B160">
        <v>678943.33032422455</v>
      </c>
      <c r="C160">
        <v>81277185.688232139</v>
      </c>
      <c r="D160">
        <v>45509</v>
      </c>
      <c r="E160">
        <v>45693</v>
      </c>
      <c r="F160">
        <v>184</v>
      </c>
      <c r="G160" t="str">
        <v>Euribor6M Actual/360</v>
      </c>
      <c r="H160">
        <v>2</v>
      </c>
      <c r="I160">
        <v>45505</v>
      </c>
      <c r="J160" t="str">
        <v>Actual/360</v>
      </c>
      <c r="K160">
        <v>0.51111111111111107</v>
      </c>
      <c r="L160">
        <v>1.6343668572782428E-2</v>
      </c>
      <c r="M160" t="str">
        <v>#N/A</v>
      </c>
      <c r="N160">
        <v>1</v>
      </c>
      <c r="O160">
        <v>1.3436685727824286E-3</v>
      </c>
      <c r="P160">
        <v>-2.1684043449710089E-19</v>
      </c>
      <c r="Q160">
        <v>1.4999999999999999E-2</v>
      </c>
      <c r="R160" t="str">
        <v>#N/A</v>
      </c>
      <c r="S160" t="str">
        <v>#N/A</v>
      </c>
      <c r="T160" t="str">
        <v>#N/A</v>
      </c>
    </row>
    <row r="161" spans="1:20" x14ac:dyDescent="0.3">
      <c r="A161">
        <v>45874</v>
      </c>
      <c r="B161">
        <v>703496.85617555073</v>
      </c>
      <c r="C161">
        <v>80524548.558999598</v>
      </c>
      <c r="D161">
        <v>45693</v>
      </c>
      <c r="E161">
        <v>45874</v>
      </c>
      <c r="F161">
        <v>181</v>
      </c>
      <c r="G161" t="str">
        <v>Euribor6M Actual/360</v>
      </c>
      <c r="H161">
        <v>2</v>
      </c>
      <c r="I161">
        <v>45691</v>
      </c>
      <c r="J161" t="str">
        <v>Actual/360</v>
      </c>
      <c r="K161">
        <v>0.50277777777777777</v>
      </c>
      <c r="L161">
        <v>1.7376319289779237E-2</v>
      </c>
      <c r="M161" t="str">
        <v>#N/A</v>
      </c>
      <c r="N161">
        <v>1</v>
      </c>
      <c r="O161">
        <v>2.3763192897792371E-3</v>
      </c>
      <c r="P161">
        <v>0</v>
      </c>
      <c r="Q161">
        <v>1.4999999999999999E-2</v>
      </c>
      <c r="R161" t="str">
        <v>#N/A</v>
      </c>
      <c r="S161" t="str">
        <v>#N/A</v>
      </c>
      <c r="T161" t="str">
        <v>#N/A</v>
      </c>
    </row>
    <row r="162" spans="1:20" x14ac:dyDescent="0.3">
      <c r="A162">
        <v>46058</v>
      </c>
      <c r="B162">
        <v>726206.97184154729</v>
      </c>
      <c r="C162">
        <v>79787521.061215088</v>
      </c>
      <c r="D162">
        <v>45874</v>
      </c>
      <c r="E162">
        <v>46058</v>
      </c>
      <c r="F162">
        <v>184</v>
      </c>
      <c r="G162" t="str">
        <v>Euribor6M Actual/360</v>
      </c>
      <c r="H162">
        <v>2</v>
      </c>
      <c r="I162">
        <v>45870</v>
      </c>
      <c r="J162" t="str">
        <v>Actual/360</v>
      </c>
      <c r="K162">
        <v>0.51111111111111107</v>
      </c>
      <c r="L162">
        <v>1.7807793858214561E-2</v>
      </c>
      <c r="M162" t="str">
        <v>#N/A</v>
      </c>
      <c r="N162">
        <v>1</v>
      </c>
      <c r="O162">
        <v>2.8077938582145604E-3</v>
      </c>
      <c r="P162">
        <v>8.6736173798840355E-19</v>
      </c>
      <c r="Q162">
        <v>1.4999999999999999E-2</v>
      </c>
      <c r="R162" t="str">
        <v>#N/A</v>
      </c>
      <c r="S162" t="str">
        <v>#N/A</v>
      </c>
      <c r="T162" t="str">
        <v>#N/A</v>
      </c>
    </row>
    <row r="179" spans="1:20" x14ac:dyDescent="0.3">
      <c r="A179" s="2" t="s">
        <v>325</v>
      </c>
    </row>
    <row r="180" spans="1:20" x14ac:dyDescent="0.3">
      <c r="A180" t="str" cm="1">
        <f t="array" ref="A180:T181">_xll.qlLegFlowAnalysis(B36,DATE(2019,12,30),$B$45)</f>
        <v>Payment Date</v>
      </c>
      <c r="B180" t="str">
        <v>Amount</v>
      </c>
      <c r="C180" t="str">
        <v>Nominal</v>
      </c>
      <c r="D180" t="str">
        <v>Accrual Start Date</v>
      </c>
      <c r="E180" t="str">
        <v>Accrual End Date</v>
      </c>
      <c r="F180" t="str">
        <v>Accrual Days</v>
      </c>
      <c r="G180" t="str">
        <v>Index</v>
      </c>
      <c r="H180" t="str">
        <v>Fixing Days</v>
      </c>
      <c r="I180" t="str">
        <v>Fixing Dates</v>
      </c>
      <c r="J180" t="str">
        <v>Day Counter</v>
      </c>
      <c r="K180" t="str">
        <v>Accrual Period</v>
      </c>
      <c r="L180" t="str">
        <v>Effective Rate</v>
      </c>
      <c r="M180" t="str">
        <v>Floor</v>
      </c>
      <c r="N180" t="str">
        <v>Gearing</v>
      </c>
      <c r="O180" t="str">
        <v>Index Fixing</v>
      </c>
      <c r="P180" t="str">
        <v>Conv. Adj.</v>
      </c>
      <c r="Q180" t="str">
        <v>Spread</v>
      </c>
      <c r="R180" t="str">
        <v>Cap</v>
      </c>
      <c r="S180" t="str">
        <v>Call Digital Payoff</v>
      </c>
      <c r="T180" t="str">
        <v>Put Digital Payoff</v>
      </c>
    </row>
    <row r="181" spans="1:20" x14ac:dyDescent="0.3">
      <c r="A181">
        <v>46058</v>
      </c>
      <c r="B181">
        <v>100000000</v>
      </c>
      <c r="C181" t="str">
        <v>#N/A</v>
      </c>
      <c r="D181" t="str">
        <v>#N/A</v>
      </c>
      <c r="E181" t="str">
        <v>#N/A</v>
      </c>
      <c r="F181" t="str">
        <v>#N/A</v>
      </c>
      <c r="G181" t="str">
        <v>#N/A</v>
      </c>
      <c r="H181" t="str">
        <v>#N/A</v>
      </c>
      <c r="I181" t="str">
        <v>#N/A</v>
      </c>
      <c r="J181" t="str">
        <v>#N/A</v>
      </c>
      <c r="K181" t="str">
        <v>#N/A</v>
      </c>
      <c r="L181" t="str">
        <v>#N/A</v>
      </c>
      <c r="M181" t="str">
        <v>#N/A</v>
      </c>
      <c r="N181" t="str">
        <v>#N/A</v>
      </c>
      <c r="O181" t="str">
        <v>#N/A</v>
      </c>
      <c r="P181" t="str">
        <v>#N/A</v>
      </c>
      <c r="Q181" t="str">
        <v>#N/A</v>
      </c>
      <c r="R181" t="str">
        <v>#N/A</v>
      </c>
      <c r="S181" t="str">
        <v>#N/A</v>
      </c>
      <c r="T181" t="str">
        <v>#N/A</v>
      </c>
    </row>
    <row r="210" spans="1:20" x14ac:dyDescent="0.3">
      <c r="A210" s="2" t="s">
        <v>326</v>
      </c>
    </row>
    <row r="211" spans="1:20" x14ac:dyDescent="0.3">
      <c r="A211" t="str" cm="1">
        <f t="array" ref="A211:T236">_xll.qlLegFlowAnalysis(B37,DATE(2019,12,30),$B$45)</f>
        <v>Payment Date</v>
      </c>
      <c r="B211" t="str">
        <v>Amount</v>
      </c>
      <c r="C211" t="str">
        <v>Nominal</v>
      </c>
      <c r="D211" t="str">
        <v>Accrual Start Date</v>
      </c>
      <c r="E211" t="str">
        <v>Accrual End Date</v>
      </c>
      <c r="F211" t="str">
        <v>Accrual Days</v>
      </c>
      <c r="G211" t="str">
        <v>Index</v>
      </c>
      <c r="H211" t="str">
        <v>Fixing Days</v>
      </c>
      <c r="I211" t="str">
        <v>Fixing Dates</v>
      </c>
      <c r="J211" t="str">
        <v>Day Counter</v>
      </c>
      <c r="K211" t="str">
        <v>Accrual Period</v>
      </c>
      <c r="L211" t="str">
        <v>Effective Rate</v>
      </c>
      <c r="M211" t="str">
        <v>Floor</v>
      </c>
      <c r="N211" t="str">
        <v>Gearing</v>
      </c>
      <c r="O211" t="str">
        <v>Index Fixing</v>
      </c>
      <c r="P211" t="str">
        <v>Conv. Adj.</v>
      </c>
      <c r="Q211" t="str">
        <v>Spread</v>
      </c>
      <c r="R211" t="str">
        <v>Cap</v>
      </c>
      <c r="S211" t="str">
        <v>Call Digital Payoff</v>
      </c>
      <c r="T211" t="str">
        <v>Put Digital Payoff</v>
      </c>
    </row>
    <row r="212" spans="1:20" x14ac:dyDescent="0.3">
      <c r="A212">
        <v>43866</v>
      </c>
      <c r="B212">
        <v>-89107802.997533455</v>
      </c>
      <c r="C212" t="str">
        <v>#N/A</v>
      </c>
      <c r="D212" t="str">
        <v>#N/A</v>
      </c>
      <c r="E212" t="str">
        <v>#N/A</v>
      </c>
      <c r="F212" t="str">
        <v>#N/A</v>
      </c>
      <c r="G212" t="str">
        <v>#N/A</v>
      </c>
      <c r="H212" t="str">
        <v>#N/A</v>
      </c>
      <c r="I212" t="str">
        <v>#N/A</v>
      </c>
      <c r="J212" t="str">
        <v>#N/A</v>
      </c>
      <c r="K212" t="str">
        <v>#N/A</v>
      </c>
      <c r="L212" t="str">
        <v>#N/A</v>
      </c>
      <c r="M212" t="str">
        <v>#N/A</v>
      </c>
      <c r="N212" t="str">
        <v>#N/A</v>
      </c>
      <c r="O212" t="str">
        <v>#N/A</v>
      </c>
      <c r="P212" t="str">
        <v>#N/A</v>
      </c>
      <c r="Q212" t="str">
        <v>#N/A</v>
      </c>
      <c r="R212" t="str">
        <v>#N/A</v>
      </c>
      <c r="S212" t="str">
        <v>#N/A</v>
      </c>
      <c r="T212" t="str">
        <v>#N/A</v>
      </c>
    </row>
    <row r="213" spans="1:20" x14ac:dyDescent="0.3">
      <c r="A213">
        <v>44048</v>
      </c>
      <c r="B213">
        <v>-88117687.900161177</v>
      </c>
      <c r="C213" t="str">
        <v>#N/A</v>
      </c>
      <c r="D213" t="str">
        <v>#N/A</v>
      </c>
      <c r="E213" t="str">
        <v>#N/A</v>
      </c>
      <c r="F213" t="str">
        <v>#N/A</v>
      </c>
      <c r="G213" t="str">
        <v>#N/A</v>
      </c>
      <c r="H213" t="str">
        <v>#N/A</v>
      </c>
      <c r="I213" t="str">
        <v>#N/A</v>
      </c>
      <c r="J213" t="str">
        <v>#N/A</v>
      </c>
      <c r="K213" t="str">
        <v>#N/A</v>
      </c>
      <c r="L213" t="str">
        <v>#N/A</v>
      </c>
      <c r="M213" t="str">
        <v>#N/A</v>
      </c>
      <c r="N213" t="str">
        <v>#N/A</v>
      </c>
      <c r="O213" t="str">
        <v>#N/A</v>
      </c>
      <c r="P213" t="str">
        <v>#N/A</v>
      </c>
      <c r="Q213" t="str">
        <v>#N/A</v>
      </c>
      <c r="R213" t="str">
        <v>#N/A</v>
      </c>
      <c r="S213" t="str">
        <v>#N/A</v>
      </c>
      <c r="T213" t="str">
        <v>#N/A</v>
      </c>
    </row>
    <row r="214" spans="1:20" x14ac:dyDescent="0.3">
      <c r="A214">
        <v>44232</v>
      </c>
      <c r="B214">
        <v>-87165006.561109066</v>
      </c>
      <c r="C214" t="str">
        <v>#N/A</v>
      </c>
      <c r="D214" t="str">
        <v>#N/A</v>
      </c>
      <c r="E214" t="str">
        <v>#N/A</v>
      </c>
      <c r="F214" t="str">
        <v>#N/A</v>
      </c>
      <c r="G214" t="str">
        <v>#N/A</v>
      </c>
      <c r="H214" t="str">
        <v>#N/A</v>
      </c>
      <c r="I214" t="str">
        <v>#N/A</v>
      </c>
      <c r="J214" t="str">
        <v>#N/A</v>
      </c>
      <c r="K214" t="str">
        <v>#N/A</v>
      </c>
      <c r="L214" t="str">
        <v>#N/A</v>
      </c>
      <c r="M214" t="str">
        <v>#N/A</v>
      </c>
      <c r="N214" t="str">
        <v>#N/A</v>
      </c>
      <c r="O214" t="str">
        <v>#N/A</v>
      </c>
      <c r="P214" t="str">
        <v>#N/A</v>
      </c>
      <c r="Q214" t="str">
        <v>#N/A</v>
      </c>
      <c r="R214" t="str">
        <v>#N/A</v>
      </c>
      <c r="S214" t="str">
        <v>#N/A</v>
      </c>
      <c r="T214" t="str">
        <v>#N/A</v>
      </c>
    </row>
    <row r="215" spans="1:20" x14ac:dyDescent="0.3">
      <c r="A215">
        <v>44413</v>
      </c>
      <c r="B215">
        <v>-86298467.294346094</v>
      </c>
      <c r="C215" t="str">
        <v>#N/A</v>
      </c>
      <c r="D215" t="str">
        <v>#N/A</v>
      </c>
      <c r="E215" t="str">
        <v>#N/A</v>
      </c>
      <c r="F215" t="str">
        <v>#N/A</v>
      </c>
      <c r="G215" t="str">
        <v>#N/A</v>
      </c>
      <c r="H215" t="str">
        <v>#N/A</v>
      </c>
      <c r="I215" t="str">
        <v>#N/A</v>
      </c>
      <c r="J215" t="str">
        <v>#N/A</v>
      </c>
      <c r="K215" t="str">
        <v>#N/A</v>
      </c>
      <c r="L215" t="str">
        <v>#N/A</v>
      </c>
      <c r="M215" t="str">
        <v>#N/A</v>
      </c>
      <c r="N215" t="str">
        <v>#N/A</v>
      </c>
      <c r="O215" t="str">
        <v>#N/A</v>
      </c>
      <c r="P215" t="str">
        <v>#N/A</v>
      </c>
      <c r="Q215" t="str">
        <v>#N/A</v>
      </c>
      <c r="R215" t="str">
        <v>#N/A</v>
      </c>
      <c r="S215" t="str">
        <v>#N/A</v>
      </c>
      <c r="T215" t="str">
        <v>#N/A</v>
      </c>
    </row>
    <row r="216" spans="1:20" x14ac:dyDescent="0.3">
      <c r="A216">
        <v>44599</v>
      </c>
      <c r="B216">
        <v>-85333177.995382458</v>
      </c>
      <c r="C216" t="str">
        <v>#N/A</v>
      </c>
      <c r="D216" t="str">
        <v>#N/A</v>
      </c>
      <c r="E216" t="str">
        <v>#N/A</v>
      </c>
      <c r="F216" t="str">
        <v>#N/A</v>
      </c>
      <c r="G216" t="str">
        <v>#N/A</v>
      </c>
      <c r="H216" t="str">
        <v>#N/A</v>
      </c>
      <c r="I216" t="str">
        <v>#N/A</v>
      </c>
      <c r="J216" t="str">
        <v>#N/A</v>
      </c>
      <c r="K216" t="str">
        <v>#N/A</v>
      </c>
      <c r="L216" t="str">
        <v>#N/A</v>
      </c>
      <c r="M216" t="str">
        <v>#N/A</v>
      </c>
      <c r="N216" t="str">
        <v>#N/A</v>
      </c>
      <c r="O216" t="str">
        <v>#N/A</v>
      </c>
      <c r="P216" t="str">
        <v>#N/A</v>
      </c>
      <c r="Q216" t="str">
        <v>#N/A</v>
      </c>
      <c r="R216" t="str">
        <v>#N/A</v>
      </c>
      <c r="S216" t="str">
        <v>#N/A</v>
      </c>
      <c r="T216" t="str">
        <v>#N/A</v>
      </c>
    </row>
    <row r="217" spans="1:20" x14ac:dyDescent="0.3">
      <c r="A217">
        <v>44778</v>
      </c>
      <c r="B217">
        <v>-84505067.953783557</v>
      </c>
      <c r="C217" t="str">
        <v>#N/A</v>
      </c>
      <c r="D217" t="str">
        <v>#N/A</v>
      </c>
      <c r="E217" t="str">
        <v>#N/A</v>
      </c>
      <c r="F217" t="str">
        <v>#N/A</v>
      </c>
      <c r="G217" t="str">
        <v>#N/A</v>
      </c>
      <c r="H217" t="str">
        <v>#N/A</v>
      </c>
      <c r="I217" t="str">
        <v>#N/A</v>
      </c>
      <c r="J217" t="str">
        <v>#N/A</v>
      </c>
      <c r="K217" t="str">
        <v>#N/A</v>
      </c>
      <c r="L217" t="str">
        <v>#N/A</v>
      </c>
      <c r="M217" t="str">
        <v>#N/A</v>
      </c>
      <c r="N217" t="str">
        <v>#N/A</v>
      </c>
      <c r="O217" t="str">
        <v>#N/A</v>
      </c>
      <c r="P217" t="str">
        <v>#N/A</v>
      </c>
      <c r="Q217" t="str">
        <v>#N/A</v>
      </c>
      <c r="R217" t="str">
        <v>#N/A</v>
      </c>
      <c r="S217" t="str">
        <v>#N/A</v>
      </c>
      <c r="T217" t="str">
        <v>#N/A</v>
      </c>
    </row>
    <row r="218" spans="1:20" x14ac:dyDescent="0.3">
      <c r="A218">
        <v>44963</v>
      </c>
      <c r="B218">
        <v>-83657802.465392172</v>
      </c>
      <c r="C218" t="str">
        <v>#N/A</v>
      </c>
      <c r="D218" t="str">
        <v>#N/A</v>
      </c>
      <c r="E218" t="str">
        <v>#N/A</v>
      </c>
      <c r="F218" t="str">
        <v>#N/A</v>
      </c>
      <c r="G218" t="str">
        <v>#N/A</v>
      </c>
      <c r="H218" t="str">
        <v>#N/A</v>
      </c>
      <c r="I218" t="str">
        <v>#N/A</v>
      </c>
      <c r="J218" t="str">
        <v>#N/A</v>
      </c>
      <c r="K218" t="str">
        <v>#N/A</v>
      </c>
      <c r="L218" t="str">
        <v>#N/A</v>
      </c>
      <c r="M218" t="str">
        <v>#N/A</v>
      </c>
      <c r="N218" t="str">
        <v>#N/A</v>
      </c>
      <c r="O218" t="str">
        <v>#N/A</v>
      </c>
      <c r="P218" t="str">
        <v>#N/A</v>
      </c>
      <c r="Q218" t="str">
        <v>#N/A</v>
      </c>
      <c r="R218" t="str">
        <v>#N/A</v>
      </c>
      <c r="S218" t="str">
        <v>#N/A</v>
      </c>
      <c r="T218" t="str">
        <v>#N/A</v>
      </c>
    </row>
    <row r="219" spans="1:20" x14ac:dyDescent="0.3">
      <c r="A219">
        <v>45145</v>
      </c>
      <c r="B219">
        <v>-82833251.618324071</v>
      </c>
      <c r="C219" t="str">
        <v>#N/A</v>
      </c>
      <c r="D219" t="str">
        <v>#N/A</v>
      </c>
      <c r="E219" t="str">
        <v>#N/A</v>
      </c>
      <c r="F219" t="str">
        <v>#N/A</v>
      </c>
      <c r="G219" t="str">
        <v>#N/A</v>
      </c>
      <c r="H219" t="str">
        <v>#N/A</v>
      </c>
      <c r="I219" t="str">
        <v>#N/A</v>
      </c>
      <c r="J219" t="str">
        <v>#N/A</v>
      </c>
      <c r="K219" t="str">
        <v>#N/A</v>
      </c>
      <c r="L219" t="str">
        <v>#N/A</v>
      </c>
      <c r="M219" t="str">
        <v>#N/A</v>
      </c>
      <c r="N219" t="str">
        <v>#N/A</v>
      </c>
      <c r="O219" t="str">
        <v>#N/A</v>
      </c>
      <c r="P219" t="str">
        <v>#N/A</v>
      </c>
      <c r="Q219" t="str">
        <v>#N/A</v>
      </c>
      <c r="R219" t="str">
        <v>#N/A</v>
      </c>
      <c r="S219" t="str">
        <v>#N/A</v>
      </c>
      <c r="T219" t="str">
        <v>#N/A</v>
      </c>
    </row>
    <row r="220" spans="1:20" x14ac:dyDescent="0.3">
      <c r="A220">
        <v>45327</v>
      </c>
      <c r="B220">
        <v>-82027750.935712904</v>
      </c>
      <c r="C220" t="str">
        <v>#N/A</v>
      </c>
      <c r="D220" t="str">
        <v>#N/A</v>
      </c>
      <c r="E220" t="str">
        <v>#N/A</v>
      </c>
      <c r="F220" t="str">
        <v>#N/A</v>
      </c>
      <c r="G220" t="str">
        <v>#N/A</v>
      </c>
      <c r="H220" t="str">
        <v>#N/A</v>
      </c>
      <c r="I220" t="str">
        <v>#N/A</v>
      </c>
      <c r="J220" t="str">
        <v>#N/A</v>
      </c>
      <c r="K220" t="str">
        <v>#N/A</v>
      </c>
      <c r="L220" t="str">
        <v>#N/A</v>
      </c>
      <c r="M220" t="str">
        <v>#N/A</v>
      </c>
      <c r="N220" t="str">
        <v>#N/A</v>
      </c>
      <c r="O220" t="str">
        <v>#N/A</v>
      </c>
      <c r="P220" t="str">
        <v>#N/A</v>
      </c>
      <c r="Q220" t="str">
        <v>#N/A</v>
      </c>
      <c r="R220" t="str">
        <v>#N/A</v>
      </c>
      <c r="S220" t="str">
        <v>#N/A</v>
      </c>
      <c r="T220" t="str">
        <v>#N/A</v>
      </c>
    </row>
    <row r="221" spans="1:20" x14ac:dyDescent="0.3">
      <c r="A221">
        <v>45509</v>
      </c>
      <c r="B221">
        <v>-81277185.688232139</v>
      </c>
      <c r="C221" t="str">
        <v>#N/A</v>
      </c>
      <c r="D221" t="str">
        <v>#N/A</v>
      </c>
      <c r="E221" t="str">
        <v>#N/A</v>
      </c>
      <c r="F221" t="str">
        <v>#N/A</v>
      </c>
      <c r="G221" t="str">
        <v>#N/A</v>
      </c>
      <c r="H221" t="str">
        <v>#N/A</v>
      </c>
      <c r="I221" t="str">
        <v>#N/A</v>
      </c>
      <c r="J221" t="str">
        <v>#N/A</v>
      </c>
      <c r="K221" t="str">
        <v>#N/A</v>
      </c>
      <c r="L221" t="str">
        <v>#N/A</v>
      </c>
      <c r="M221" t="str">
        <v>#N/A</v>
      </c>
      <c r="N221" t="str">
        <v>#N/A</v>
      </c>
      <c r="O221" t="str">
        <v>#N/A</v>
      </c>
      <c r="P221" t="str">
        <v>#N/A</v>
      </c>
      <c r="Q221" t="str">
        <v>#N/A</v>
      </c>
      <c r="R221" t="str">
        <v>#N/A</v>
      </c>
      <c r="S221" t="str">
        <v>#N/A</v>
      </c>
      <c r="T221" t="str">
        <v>#N/A</v>
      </c>
    </row>
    <row r="222" spans="1:20" x14ac:dyDescent="0.3">
      <c r="A222">
        <v>45693</v>
      </c>
      <c r="B222">
        <v>-80524548.558999598</v>
      </c>
      <c r="C222" t="str">
        <v>#N/A</v>
      </c>
      <c r="D222" t="str">
        <v>#N/A</v>
      </c>
      <c r="E222" t="str">
        <v>#N/A</v>
      </c>
      <c r="F222" t="str">
        <v>#N/A</v>
      </c>
      <c r="G222" t="str">
        <v>#N/A</v>
      </c>
      <c r="H222" t="str">
        <v>#N/A</v>
      </c>
      <c r="I222" t="str">
        <v>#N/A</v>
      </c>
      <c r="J222" t="str">
        <v>#N/A</v>
      </c>
      <c r="K222" t="str">
        <v>#N/A</v>
      </c>
      <c r="L222" t="str">
        <v>#N/A</v>
      </c>
      <c r="M222" t="str">
        <v>#N/A</v>
      </c>
      <c r="N222" t="str">
        <v>#N/A</v>
      </c>
      <c r="O222" t="str">
        <v>#N/A</v>
      </c>
      <c r="P222" t="str">
        <v>#N/A</v>
      </c>
      <c r="Q222" t="str">
        <v>#N/A</v>
      </c>
      <c r="R222" t="str">
        <v>#N/A</v>
      </c>
      <c r="S222" t="str">
        <v>#N/A</v>
      </c>
      <c r="T222" t="str">
        <v>#N/A</v>
      </c>
    </row>
    <row r="223" spans="1:20" x14ac:dyDescent="0.3">
      <c r="A223">
        <v>45874</v>
      </c>
      <c r="B223">
        <v>-79787521.061215088</v>
      </c>
      <c r="C223" t="str">
        <v>#N/A</v>
      </c>
      <c r="D223" t="str">
        <v>#N/A</v>
      </c>
      <c r="E223" t="str">
        <v>#N/A</v>
      </c>
      <c r="F223" t="str">
        <v>#N/A</v>
      </c>
      <c r="G223" t="str">
        <v>#N/A</v>
      </c>
      <c r="H223" t="str">
        <v>#N/A</v>
      </c>
      <c r="I223" t="str">
        <v>#N/A</v>
      </c>
      <c r="J223" t="str">
        <v>#N/A</v>
      </c>
      <c r="K223" t="str">
        <v>#N/A</v>
      </c>
      <c r="L223" t="str">
        <v>#N/A</v>
      </c>
      <c r="M223" t="str">
        <v>#N/A</v>
      </c>
      <c r="N223" t="str">
        <v>#N/A</v>
      </c>
      <c r="O223" t="str">
        <v>#N/A</v>
      </c>
      <c r="P223" t="str">
        <v>#N/A</v>
      </c>
      <c r="Q223" t="str">
        <v>#N/A</v>
      </c>
      <c r="R223" t="str">
        <v>#N/A</v>
      </c>
      <c r="S223" t="str">
        <v>#N/A</v>
      </c>
      <c r="T223" t="str">
        <v>#N/A</v>
      </c>
    </row>
    <row r="224" spans="1:20" x14ac:dyDescent="0.3">
      <c r="A224">
        <v>43866</v>
      </c>
      <c r="B224">
        <v>90604330.887016401</v>
      </c>
      <c r="C224" t="str">
        <v>#N/A</v>
      </c>
      <c r="D224" t="str">
        <v>#N/A</v>
      </c>
      <c r="E224" t="str">
        <v>#N/A</v>
      </c>
      <c r="F224" t="str">
        <v>#N/A</v>
      </c>
      <c r="G224" t="str">
        <v>#N/A</v>
      </c>
      <c r="H224" t="str">
        <v>#N/A</v>
      </c>
      <c r="I224" t="str">
        <v>#N/A</v>
      </c>
      <c r="J224" t="str">
        <v>#N/A</v>
      </c>
      <c r="K224" t="str">
        <v>#N/A</v>
      </c>
      <c r="L224" t="str">
        <v>#N/A</v>
      </c>
      <c r="M224" t="str">
        <v>#N/A</v>
      </c>
      <c r="N224" t="str">
        <v>#N/A</v>
      </c>
      <c r="O224" t="str">
        <v>#N/A</v>
      </c>
      <c r="P224" t="str">
        <v>#N/A</v>
      </c>
      <c r="Q224" t="str">
        <v>#N/A</v>
      </c>
      <c r="R224" t="str">
        <v>#N/A</v>
      </c>
      <c r="S224" t="str">
        <v>#N/A</v>
      </c>
      <c r="T224" t="str">
        <v>#N/A</v>
      </c>
    </row>
    <row r="225" spans="1:20" x14ac:dyDescent="0.3">
      <c r="A225">
        <v>44048</v>
      </c>
      <c r="B225">
        <v>89107802.997533455</v>
      </c>
      <c r="C225" t="str">
        <v>#N/A</v>
      </c>
      <c r="D225" t="str">
        <v>#N/A</v>
      </c>
      <c r="E225" t="str">
        <v>#N/A</v>
      </c>
      <c r="F225" t="str">
        <v>#N/A</v>
      </c>
      <c r="G225" t="str">
        <v>#N/A</v>
      </c>
      <c r="H225" t="str">
        <v>#N/A</v>
      </c>
      <c r="I225" t="str">
        <v>#N/A</v>
      </c>
      <c r="J225" t="str">
        <v>#N/A</v>
      </c>
      <c r="K225" t="str">
        <v>#N/A</v>
      </c>
      <c r="L225" t="str">
        <v>#N/A</v>
      </c>
      <c r="M225" t="str">
        <v>#N/A</v>
      </c>
      <c r="N225" t="str">
        <v>#N/A</v>
      </c>
      <c r="O225" t="str">
        <v>#N/A</v>
      </c>
      <c r="P225" t="str">
        <v>#N/A</v>
      </c>
      <c r="Q225" t="str">
        <v>#N/A</v>
      </c>
      <c r="R225" t="str">
        <v>#N/A</v>
      </c>
      <c r="S225" t="str">
        <v>#N/A</v>
      </c>
      <c r="T225" t="str">
        <v>#N/A</v>
      </c>
    </row>
    <row r="226" spans="1:20" x14ac:dyDescent="0.3">
      <c r="A226">
        <v>44232</v>
      </c>
      <c r="B226">
        <v>88117687.900161177</v>
      </c>
      <c r="C226" t="str">
        <v>#N/A</v>
      </c>
      <c r="D226" t="str">
        <v>#N/A</v>
      </c>
      <c r="E226" t="str">
        <v>#N/A</v>
      </c>
      <c r="F226" t="str">
        <v>#N/A</v>
      </c>
      <c r="G226" t="str">
        <v>#N/A</v>
      </c>
      <c r="H226" t="str">
        <v>#N/A</v>
      </c>
      <c r="I226" t="str">
        <v>#N/A</v>
      </c>
      <c r="J226" t="str">
        <v>#N/A</v>
      </c>
      <c r="K226" t="str">
        <v>#N/A</v>
      </c>
      <c r="L226" t="str">
        <v>#N/A</v>
      </c>
      <c r="M226" t="str">
        <v>#N/A</v>
      </c>
      <c r="N226" t="str">
        <v>#N/A</v>
      </c>
      <c r="O226" t="str">
        <v>#N/A</v>
      </c>
      <c r="P226" t="str">
        <v>#N/A</v>
      </c>
      <c r="Q226" t="str">
        <v>#N/A</v>
      </c>
      <c r="R226" t="str">
        <v>#N/A</v>
      </c>
      <c r="S226" t="str">
        <v>#N/A</v>
      </c>
      <c r="T226" t="str">
        <v>#N/A</v>
      </c>
    </row>
    <row r="227" spans="1:20" x14ac:dyDescent="0.3">
      <c r="A227">
        <v>44413</v>
      </c>
      <c r="B227">
        <v>87165006.561109066</v>
      </c>
      <c r="C227" t="str">
        <v>#N/A</v>
      </c>
      <c r="D227" t="str">
        <v>#N/A</v>
      </c>
      <c r="E227" t="str">
        <v>#N/A</v>
      </c>
      <c r="F227" t="str">
        <v>#N/A</v>
      </c>
      <c r="G227" t="str">
        <v>#N/A</v>
      </c>
      <c r="H227" t="str">
        <v>#N/A</v>
      </c>
      <c r="I227" t="str">
        <v>#N/A</v>
      </c>
      <c r="J227" t="str">
        <v>#N/A</v>
      </c>
      <c r="K227" t="str">
        <v>#N/A</v>
      </c>
      <c r="L227" t="str">
        <v>#N/A</v>
      </c>
      <c r="M227" t="str">
        <v>#N/A</v>
      </c>
      <c r="N227" t="str">
        <v>#N/A</v>
      </c>
      <c r="O227" t="str">
        <v>#N/A</v>
      </c>
      <c r="P227" t="str">
        <v>#N/A</v>
      </c>
      <c r="Q227" t="str">
        <v>#N/A</v>
      </c>
      <c r="R227" t="str">
        <v>#N/A</v>
      </c>
      <c r="S227" t="str">
        <v>#N/A</v>
      </c>
      <c r="T227" t="str">
        <v>#N/A</v>
      </c>
    </row>
    <row r="228" spans="1:20" x14ac:dyDescent="0.3">
      <c r="A228">
        <v>44599</v>
      </c>
      <c r="B228">
        <v>86298467.294346094</v>
      </c>
      <c r="C228" t="str">
        <v>#N/A</v>
      </c>
      <c r="D228" t="str">
        <v>#N/A</v>
      </c>
      <c r="E228" t="str">
        <v>#N/A</v>
      </c>
      <c r="F228" t="str">
        <v>#N/A</v>
      </c>
      <c r="G228" t="str">
        <v>#N/A</v>
      </c>
      <c r="H228" t="str">
        <v>#N/A</v>
      </c>
      <c r="I228" t="str">
        <v>#N/A</v>
      </c>
      <c r="J228" t="str">
        <v>#N/A</v>
      </c>
      <c r="K228" t="str">
        <v>#N/A</v>
      </c>
      <c r="L228" t="str">
        <v>#N/A</v>
      </c>
      <c r="M228" t="str">
        <v>#N/A</v>
      </c>
      <c r="N228" t="str">
        <v>#N/A</v>
      </c>
      <c r="O228" t="str">
        <v>#N/A</v>
      </c>
      <c r="P228" t="str">
        <v>#N/A</v>
      </c>
      <c r="Q228" t="str">
        <v>#N/A</v>
      </c>
      <c r="R228" t="str">
        <v>#N/A</v>
      </c>
      <c r="S228" t="str">
        <v>#N/A</v>
      </c>
      <c r="T228" t="str">
        <v>#N/A</v>
      </c>
    </row>
    <row r="229" spans="1:20" x14ac:dyDescent="0.3">
      <c r="A229">
        <v>44778</v>
      </c>
      <c r="B229">
        <v>85333177.995382458</v>
      </c>
      <c r="C229" t="str">
        <v>#N/A</v>
      </c>
      <c r="D229" t="str">
        <v>#N/A</v>
      </c>
      <c r="E229" t="str">
        <v>#N/A</v>
      </c>
      <c r="F229" t="str">
        <v>#N/A</v>
      </c>
      <c r="G229" t="str">
        <v>#N/A</v>
      </c>
      <c r="H229" t="str">
        <v>#N/A</v>
      </c>
      <c r="I229" t="str">
        <v>#N/A</v>
      </c>
      <c r="J229" t="str">
        <v>#N/A</v>
      </c>
      <c r="K229" t="str">
        <v>#N/A</v>
      </c>
      <c r="L229" t="str">
        <v>#N/A</v>
      </c>
      <c r="M229" t="str">
        <v>#N/A</v>
      </c>
      <c r="N229" t="str">
        <v>#N/A</v>
      </c>
      <c r="O229" t="str">
        <v>#N/A</v>
      </c>
      <c r="P229" t="str">
        <v>#N/A</v>
      </c>
      <c r="Q229" t="str">
        <v>#N/A</v>
      </c>
      <c r="R229" t="str">
        <v>#N/A</v>
      </c>
      <c r="S229" t="str">
        <v>#N/A</v>
      </c>
      <c r="T229" t="str">
        <v>#N/A</v>
      </c>
    </row>
    <row r="230" spans="1:20" x14ac:dyDescent="0.3">
      <c r="A230">
        <v>44963</v>
      </c>
      <c r="B230">
        <v>84505067.953783557</v>
      </c>
      <c r="C230" t="str">
        <v>#N/A</v>
      </c>
      <c r="D230" t="str">
        <v>#N/A</v>
      </c>
      <c r="E230" t="str">
        <v>#N/A</v>
      </c>
      <c r="F230" t="str">
        <v>#N/A</v>
      </c>
      <c r="G230" t="str">
        <v>#N/A</v>
      </c>
      <c r="H230" t="str">
        <v>#N/A</v>
      </c>
      <c r="I230" t="str">
        <v>#N/A</v>
      </c>
      <c r="J230" t="str">
        <v>#N/A</v>
      </c>
      <c r="K230" t="str">
        <v>#N/A</v>
      </c>
      <c r="L230" t="str">
        <v>#N/A</v>
      </c>
      <c r="M230" t="str">
        <v>#N/A</v>
      </c>
      <c r="N230" t="str">
        <v>#N/A</v>
      </c>
      <c r="O230" t="str">
        <v>#N/A</v>
      </c>
      <c r="P230" t="str">
        <v>#N/A</v>
      </c>
      <c r="Q230" t="str">
        <v>#N/A</v>
      </c>
      <c r="R230" t="str">
        <v>#N/A</v>
      </c>
      <c r="S230" t="str">
        <v>#N/A</v>
      </c>
      <c r="T230" t="str">
        <v>#N/A</v>
      </c>
    </row>
    <row r="231" spans="1:20" x14ac:dyDescent="0.3">
      <c r="A231">
        <v>45145</v>
      </c>
      <c r="B231">
        <v>83657802.465392172</v>
      </c>
      <c r="C231" t="str">
        <v>#N/A</v>
      </c>
      <c r="D231" t="str">
        <v>#N/A</v>
      </c>
      <c r="E231" t="str">
        <v>#N/A</v>
      </c>
      <c r="F231" t="str">
        <v>#N/A</v>
      </c>
      <c r="G231" t="str">
        <v>#N/A</v>
      </c>
      <c r="H231" t="str">
        <v>#N/A</v>
      </c>
      <c r="I231" t="str">
        <v>#N/A</v>
      </c>
      <c r="J231" t="str">
        <v>#N/A</v>
      </c>
      <c r="K231" t="str">
        <v>#N/A</v>
      </c>
      <c r="L231" t="str">
        <v>#N/A</v>
      </c>
      <c r="M231" t="str">
        <v>#N/A</v>
      </c>
      <c r="N231" t="str">
        <v>#N/A</v>
      </c>
      <c r="O231" t="str">
        <v>#N/A</v>
      </c>
      <c r="P231" t="str">
        <v>#N/A</v>
      </c>
      <c r="Q231" t="str">
        <v>#N/A</v>
      </c>
      <c r="R231" t="str">
        <v>#N/A</v>
      </c>
      <c r="S231" t="str">
        <v>#N/A</v>
      </c>
      <c r="T231" t="str">
        <v>#N/A</v>
      </c>
    </row>
    <row r="232" spans="1:20" x14ac:dyDescent="0.3">
      <c r="A232">
        <v>45327</v>
      </c>
      <c r="B232">
        <v>82833251.618324071</v>
      </c>
      <c r="C232" t="str">
        <v>#N/A</v>
      </c>
      <c r="D232" t="str">
        <v>#N/A</v>
      </c>
      <c r="E232" t="str">
        <v>#N/A</v>
      </c>
      <c r="F232" t="str">
        <v>#N/A</v>
      </c>
      <c r="G232" t="str">
        <v>#N/A</v>
      </c>
      <c r="H232" t="str">
        <v>#N/A</v>
      </c>
      <c r="I232" t="str">
        <v>#N/A</v>
      </c>
      <c r="J232" t="str">
        <v>#N/A</v>
      </c>
      <c r="K232" t="str">
        <v>#N/A</v>
      </c>
      <c r="L232" t="str">
        <v>#N/A</v>
      </c>
      <c r="M232" t="str">
        <v>#N/A</v>
      </c>
      <c r="N232" t="str">
        <v>#N/A</v>
      </c>
      <c r="O232" t="str">
        <v>#N/A</v>
      </c>
      <c r="P232" t="str">
        <v>#N/A</v>
      </c>
      <c r="Q232" t="str">
        <v>#N/A</v>
      </c>
      <c r="R232" t="str">
        <v>#N/A</v>
      </c>
      <c r="S232" t="str">
        <v>#N/A</v>
      </c>
      <c r="T232" t="str">
        <v>#N/A</v>
      </c>
    </row>
    <row r="233" spans="1:20" x14ac:dyDescent="0.3">
      <c r="A233">
        <v>45509</v>
      </c>
      <c r="B233">
        <v>82027750.935712904</v>
      </c>
      <c r="C233" t="str">
        <v>#N/A</v>
      </c>
      <c r="D233" t="str">
        <v>#N/A</v>
      </c>
      <c r="E233" t="str">
        <v>#N/A</v>
      </c>
      <c r="F233" t="str">
        <v>#N/A</v>
      </c>
      <c r="G233" t="str">
        <v>#N/A</v>
      </c>
      <c r="H233" t="str">
        <v>#N/A</v>
      </c>
      <c r="I233" t="str">
        <v>#N/A</v>
      </c>
      <c r="J233" t="str">
        <v>#N/A</v>
      </c>
      <c r="K233" t="str">
        <v>#N/A</v>
      </c>
      <c r="L233" t="str">
        <v>#N/A</v>
      </c>
      <c r="M233" t="str">
        <v>#N/A</v>
      </c>
      <c r="N233" t="str">
        <v>#N/A</v>
      </c>
      <c r="O233" t="str">
        <v>#N/A</v>
      </c>
      <c r="P233" t="str">
        <v>#N/A</v>
      </c>
      <c r="Q233" t="str">
        <v>#N/A</v>
      </c>
      <c r="R233" t="str">
        <v>#N/A</v>
      </c>
      <c r="S233" t="str">
        <v>#N/A</v>
      </c>
      <c r="T233" t="str">
        <v>#N/A</v>
      </c>
    </row>
    <row r="234" spans="1:20" x14ac:dyDescent="0.3">
      <c r="A234">
        <v>45693</v>
      </c>
      <c r="B234">
        <v>81277185.688232139</v>
      </c>
      <c r="C234" t="str">
        <v>#N/A</v>
      </c>
      <c r="D234" t="str">
        <v>#N/A</v>
      </c>
      <c r="E234" t="str">
        <v>#N/A</v>
      </c>
      <c r="F234" t="str">
        <v>#N/A</v>
      </c>
      <c r="G234" t="str">
        <v>#N/A</v>
      </c>
      <c r="H234" t="str">
        <v>#N/A</v>
      </c>
      <c r="I234" t="str">
        <v>#N/A</v>
      </c>
      <c r="J234" t="str">
        <v>#N/A</v>
      </c>
      <c r="K234" t="str">
        <v>#N/A</v>
      </c>
      <c r="L234" t="str">
        <v>#N/A</v>
      </c>
      <c r="M234" t="str">
        <v>#N/A</v>
      </c>
      <c r="N234" t="str">
        <v>#N/A</v>
      </c>
      <c r="O234" t="str">
        <v>#N/A</v>
      </c>
      <c r="P234" t="str">
        <v>#N/A</v>
      </c>
      <c r="Q234" t="str">
        <v>#N/A</v>
      </c>
      <c r="R234" t="str">
        <v>#N/A</v>
      </c>
      <c r="S234" t="str">
        <v>#N/A</v>
      </c>
      <c r="T234" t="str">
        <v>#N/A</v>
      </c>
    </row>
    <row r="235" spans="1:20" x14ac:dyDescent="0.3">
      <c r="A235">
        <v>45874</v>
      </c>
      <c r="B235">
        <v>80524548.558999598</v>
      </c>
      <c r="C235" t="str">
        <v>#N/A</v>
      </c>
      <c r="D235" t="str">
        <v>#N/A</v>
      </c>
      <c r="E235" t="str">
        <v>#N/A</v>
      </c>
      <c r="F235" t="str">
        <v>#N/A</v>
      </c>
      <c r="G235" t="str">
        <v>#N/A</v>
      </c>
      <c r="H235" t="str">
        <v>#N/A</v>
      </c>
      <c r="I235" t="str">
        <v>#N/A</v>
      </c>
      <c r="J235" t="str">
        <v>#N/A</v>
      </c>
      <c r="K235" t="str">
        <v>#N/A</v>
      </c>
      <c r="L235" t="str">
        <v>#N/A</v>
      </c>
      <c r="M235" t="str">
        <v>#N/A</v>
      </c>
      <c r="N235" t="str">
        <v>#N/A</v>
      </c>
      <c r="O235" t="str">
        <v>#N/A</v>
      </c>
      <c r="P235" t="str">
        <v>#N/A</v>
      </c>
      <c r="Q235" t="str">
        <v>#N/A</v>
      </c>
      <c r="R235" t="str">
        <v>#N/A</v>
      </c>
      <c r="S235" t="str">
        <v>#N/A</v>
      </c>
      <c r="T235" t="str">
        <v>#N/A</v>
      </c>
    </row>
    <row r="236" spans="1:20" x14ac:dyDescent="0.3">
      <c r="A236">
        <v>46058</v>
      </c>
      <c r="B236">
        <v>79787521.061215088</v>
      </c>
      <c r="C236" t="str">
        <v>#N/A</v>
      </c>
      <c r="D236" t="str">
        <v>#N/A</v>
      </c>
      <c r="E236" t="str">
        <v>#N/A</v>
      </c>
      <c r="F236" t="str">
        <v>#N/A</v>
      </c>
      <c r="G236" t="str">
        <v>#N/A</v>
      </c>
      <c r="H236" t="str">
        <v>#N/A</v>
      </c>
      <c r="I236" t="str">
        <v>#N/A</v>
      </c>
      <c r="J236" t="str">
        <v>#N/A</v>
      </c>
      <c r="K236" t="str">
        <v>#N/A</v>
      </c>
      <c r="L236" t="str">
        <v>#N/A</v>
      </c>
      <c r="M236" t="str">
        <v>#N/A</v>
      </c>
      <c r="N236" t="str">
        <v>#N/A</v>
      </c>
      <c r="O236" t="str">
        <v>#N/A</v>
      </c>
      <c r="P236" t="str">
        <v>#N/A</v>
      </c>
      <c r="Q236" t="str">
        <v>#N/A</v>
      </c>
      <c r="R236" t="str">
        <v>#N/A</v>
      </c>
      <c r="S236" t="str">
        <v>#N/A</v>
      </c>
      <c r="T236" t="str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MarketData</vt:lpstr>
      <vt:lpstr>Indexes</vt:lpstr>
      <vt:lpstr>USD-FedFunds</vt:lpstr>
      <vt:lpstr>EUR-EONIA</vt:lpstr>
      <vt:lpstr>USD-LIBOR-3M</vt:lpstr>
      <vt:lpstr>USD-LIBOR-6M</vt:lpstr>
      <vt:lpstr>EUR-EURIBOR-6M</vt:lpstr>
      <vt:lpstr>EUR-EURIBOR-3M</vt:lpstr>
      <vt:lpstr>EUR-IN-USD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Ehlers, Eric</dc:creator>
  <cp:lastModifiedBy>Ehlers, Eric</cp:lastModifiedBy>
  <dcterms:created xsi:type="dcterms:W3CDTF">2026-10-07T15:58:21Z</dcterms:created>
  <dcterms:modified xsi:type="dcterms:W3CDTF">2026-10-08T13:42:28Z</dcterms:modified>
</cp:coreProperties>
</file>