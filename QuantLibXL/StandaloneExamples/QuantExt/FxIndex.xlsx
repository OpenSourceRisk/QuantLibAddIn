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k\repos\qla-dx1-ee\QuantLibXL\StandaloneExamples\QuantExt\"/>
    </mc:Choice>
  </mc:AlternateContent>
  <xr:revisionPtr revIDLastSave="0" documentId="8_{78B9F210-36D1-4569-AE94-D811759AAB3A}" xr6:coauthVersionLast="47" xr6:coauthVersionMax="47" xr10:uidLastSave="{00000000-0000-0000-0000-000000000000}"/>
  <bookViews>
    <workbookView xWindow="-120" yWindow="-16320" windowWidth="29040" windowHeight="15720" xr2:uid="{B17285CD-F962-4FBE-BF17-DC357C68B6DE}"/>
  </bookViews>
  <sheets>
    <sheet name="Fx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B26" i="1"/>
  <c r="C26" i="1" s="1"/>
  <c r="B24" i="1"/>
  <c r="B5" i="1"/>
  <c r="C24" i="1"/>
  <c r="B27" i="1"/>
  <c r="C27" i="1" s="1"/>
  <c r="C5" i="1"/>
  <c r="B9" i="1"/>
  <c r="B10" i="1"/>
  <c r="B11" i="1"/>
  <c r="C9" i="1"/>
  <c r="B12" i="1"/>
  <c r="C10" i="1"/>
  <c r="B28" i="1"/>
  <c r="C28" i="1" s="1"/>
  <c r="B29" i="1"/>
  <c r="C11" i="1"/>
  <c r="B30" i="1"/>
  <c r="C30" i="1" s="1"/>
  <c r="B31" i="1"/>
  <c r="C31" i="1" s="1"/>
  <c r="C12" i="1"/>
  <c r="B13" i="1"/>
  <c r="C13" i="1" s="1"/>
  <c r="B14" i="1"/>
  <c r="C14" i="1" s="1"/>
  <c r="B15" i="1"/>
  <c r="C15" i="1" s="1"/>
  <c r="B20" i="1"/>
  <c r="C20" i="1" s="1"/>
  <c r="B21" i="1"/>
  <c r="C21" i="1" s="1"/>
  <c r="B25" i="1"/>
  <c r="C29" i="1"/>
  <c r="C25" i="1"/>
  <c r="B32" i="1" l="1"/>
  <c r="B33" i="1" s="1"/>
</calcChain>
</file>

<file path=xl/sharedStrings.xml><?xml version="1.0" encoding="utf-8"?>
<sst xmlns="http://schemas.openxmlformats.org/spreadsheetml/2006/main" count="32" uniqueCount="31">
  <si>
    <t>QuantExt FxIndex example (qlFxIndex)</t>
  </si>
  <si>
    <t>Dates and fixings follow the Cross_Currency_Swap_rebalancing regression test; curves are flat.</t>
  </si>
  <si>
    <t>Item</t>
  </si>
  <si>
    <t>Value</t>
  </si>
  <si>
    <t>Error</t>
  </si>
  <si>
    <t>Evaluation date</t>
  </si>
  <si>
    <t>EUR flat rate</t>
  </si>
  <si>
    <t>USD flat rate</t>
  </si>
  <si>
    <t>EUR/USD spot</t>
  </si>
  <si>
    <t>Spot quote</t>
  </si>
  <si>
    <t>EUR curve</t>
  </si>
  <si>
    <t>USD curve</t>
  </si>
  <si>
    <t>FX index</t>
  </si>
  <si>
    <t>Index name</t>
  </si>
  <si>
    <t>Source currency</t>
  </si>
  <si>
    <t>Target currency</t>
  </si>
  <si>
    <t>Historical fixing</t>
  </si>
  <si>
    <t>Fixing date</t>
  </si>
  <si>
    <t>Fixing value</t>
  </si>
  <si>
    <t>Add fixing</t>
  </si>
  <si>
    <t>Fixing returned by index</t>
  </si>
  <si>
    <t>Forecast fixing</t>
  </si>
  <si>
    <t>Fixing date (2020-08-05 less 2 TARGET days)</t>
  </si>
  <si>
    <t>Spot date</t>
  </si>
  <si>
    <t>Fixing value date</t>
  </si>
  <si>
    <t>EUR discount, spot date</t>
  </si>
  <si>
    <t>EUR discount, value date</t>
  </si>
  <si>
    <t>USD discount, spot date</t>
  </si>
  <si>
    <t>USD discount, value date</t>
  </si>
  <si>
    <t>Hand-calculated forward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</si>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</sst>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6567-219E-4851-B19B-C3BE3BA9619E}">
  <dimension ref="A1:C33"/>
  <sheetViews>
    <sheetView tabSelected="1" workbookViewId="0"/>
  </sheetViews>
  <sheetFormatPr defaultRowHeight="14.4" x14ac:dyDescent="0.3"/>
  <cols>
    <col min="1" max="1" width="42.77734375" customWidth="1"/>
    <col min="2" max="2" width="22.77734375" customWidth="1"/>
    <col min="3" max="3" width="40.77734375" customWidth="1"/>
  </cols>
  <sheetData>
    <row r="1" spans="1:3" x14ac:dyDescent="0.3">
      <c r="A1" s="2" t="s">
        <v>0</v>
      </c>
    </row>
    <row r="2" spans="1:3" x14ac:dyDescent="0.3">
      <c r="A2" t="s">
        <v>1</v>
      </c>
    </row>
    <row r="4" spans="1:3" x14ac:dyDescent="0.3">
      <c r="A4" s="2" t="s">
        <v>2</v>
      </c>
      <c r="B4" s="2" t="s">
        <v>3</v>
      </c>
      <c r="C4" s="2" t="s">
        <v>4</v>
      </c>
    </row>
    <row r="5" spans="1:3" x14ac:dyDescent="0.3">
      <c r="A5" t="s">
        <v>5</v>
      </c>
      <c r="B5" t="b">
        <f>_xll.qlSettingsSetEvaluationDate(DATE(2019,12,30),FALSE)</f>
        <v>1</v>
      </c>
      <c r="C5" t="str">
        <f>_xll.ohRangeRetrieveError(B5)</f>
        <v/>
      </c>
    </row>
    <row r="6" spans="1:3" x14ac:dyDescent="0.3">
      <c r="A6" t="s">
        <v>6</v>
      </c>
      <c r="B6">
        <v>0</v>
      </c>
    </row>
    <row r="7" spans="1:3" x14ac:dyDescent="0.3">
      <c r="A7" t="s">
        <v>7</v>
      </c>
      <c r="B7">
        <v>0.02</v>
      </c>
    </row>
    <row r="8" spans="1:3" x14ac:dyDescent="0.3">
      <c r="A8" t="s">
        <v>8</v>
      </c>
      <c r="B8">
        <v>1.1198999999999999</v>
      </c>
    </row>
    <row r="9" spans="1:3" x14ac:dyDescent="0.3">
      <c r="A9" t="s">
        <v>9</v>
      </c>
      <c r="B9" t="str">
        <f>_xll.qlSimpleQuote("EurUsdSpot",B8,0,FALSE,B5)</f>
        <v>EurUsdSpot#0001</v>
      </c>
      <c r="C9" t="str">
        <f>_xll.ohRangeRetrieveError(B9)</f>
        <v/>
      </c>
    </row>
    <row r="10" spans="1:3" x14ac:dyDescent="0.3">
      <c r="A10" t="s">
        <v>10</v>
      </c>
      <c r="B10" t="str">
        <f>_xll.qlFlatForward("EurCurve",0,"TARGET",B6,"Actual/365 (Fixed)","Continuous","Annual",FALSE,B5)</f>
        <v>EurCurve#0001</v>
      </c>
      <c r="C10" t="str">
        <f>_xll.ohRangeRetrieveError(B10)</f>
        <v/>
      </c>
    </row>
    <row r="11" spans="1:3" x14ac:dyDescent="0.3">
      <c r="A11" t="s">
        <v>11</v>
      </c>
      <c r="B11" t="str">
        <f>_xll.qlFlatForward("UsdCurve",0,"TARGET",B7,"Actual/365 (Fixed)","Continuous","Annual",FALSE,B5)</f>
        <v>UsdCurve#0001</v>
      </c>
      <c r="C11" t="str">
        <f>_xll.ohRangeRetrieveError(B11)</f>
        <v/>
      </c>
    </row>
    <row r="12" spans="1:3" x14ac:dyDescent="0.3">
      <c r="A12" t="s">
        <v>12</v>
      </c>
      <c r="B12" t="str">
        <f>_xll.qlFxIndex("FxIndex","ECB",2,"EUR","USD","TARGET",B9,B10,B11,TRUE,FALSE,B5)</f>
        <v>FxIndex#0001</v>
      </c>
      <c r="C12" t="str">
        <f>_xll.ohRangeRetrieveError(B12)</f>
        <v/>
      </c>
    </row>
    <row r="13" spans="1:3" x14ac:dyDescent="0.3">
      <c r="A13" t="s">
        <v>13</v>
      </c>
      <c r="B13" t="str">
        <f>_xll.qlIndexName(B12)</f>
        <v>ECB EUR/USD</v>
      </c>
      <c r="C13" t="str">
        <f>_xll.ohRangeRetrieveError(B13)</f>
        <v/>
      </c>
    </row>
    <row r="14" spans="1:3" x14ac:dyDescent="0.3">
      <c r="A14" t="s">
        <v>14</v>
      </c>
      <c r="B14" t="str">
        <f>_xll.qlFxIndexSourceCurrency(B12)</f>
        <v>EUR</v>
      </c>
      <c r="C14" t="str">
        <f>_xll.ohRangeRetrieveError(B14)</f>
        <v/>
      </c>
    </row>
    <row r="15" spans="1:3" x14ac:dyDescent="0.3">
      <c r="A15" t="s">
        <v>15</v>
      </c>
      <c r="B15" t="str">
        <f>_xll.qlFxIndexTargetCurrency(B12)</f>
        <v>USD</v>
      </c>
      <c r="C15" t="str">
        <f>_xll.ohRangeRetrieveError(B15)</f>
        <v/>
      </c>
    </row>
    <row r="17" spans="1:3" x14ac:dyDescent="0.3">
      <c r="A17" s="2" t="s">
        <v>16</v>
      </c>
    </row>
    <row r="18" spans="1:3" x14ac:dyDescent="0.3">
      <c r="A18" t="s">
        <v>17</v>
      </c>
      <c r="B18" s="1">
        <f>DATE(2019,8,1)</f>
        <v>43678</v>
      </c>
    </row>
    <row r="19" spans="1:3" x14ac:dyDescent="0.3">
      <c r="A19" t="s">
        <v>18</v>
      </c>
      <c r="B19">
        <v>1.1036999999999999</v>
      </c>
    </row>
    <row r="20" spans="1:3" x14ac:dyDescent="0.3">
      <c r="A20" t="s">
        <v>19</v>
      </c>
      <c r="B20" t="b">
        <f>_xll.qlIndexAddFixings(B12,B18,B19,TRUE)</f>
        <v>1</v>
      </c>
      <c r="C20" t="str">
        <f>_xll.ohRangeRetrieveError(B20)</f>
        <v/>
      </c>
    </row>
    <row r="21" spans="1:3" x14ac:dyDescent="0.3">
      <c r="A21" t="s">
        <v>20</v>
      </c>
      <c r="B21">
        <f>_xll.qlIndexFixing(B12,B18,FALSE,B20)</f>
        <v>1.1036999999999999</v>
      </c>
      <c r="C21" t="str">
        <f>_xll.ohRangeRetrieveError(B21)</f>
        <v/>
      </c>
    </row>
    <row r="23" spans="1:3" x14ac:dyDescent="0.3">
      <c r="A23" s="2" t="s">
        <v>21</v>
      </c>
    </row>
    <row r="24" spans="1:3" x14ac:dyDescent="0.3">
      <c r="A24" t="s">
        <v>22</v>
      </c>
      <c r="B24" s="1">
        <f>_xll.qlCalendarAdvance("TARGET",DATE(2020,8,5),"-2D")</f>
        <v>44046</v>
      </c>
      <c r="C24" t="str">
        <f>_xll.ohRangeRetrieveError(B24)</f>
        <v/>
      </c>
    </row>
    <row r="25" spans="1:3" x14ac:dyDescent="0.3">
      <c r="A25" t="s">
        <v>20</v>
      </c>
      <c r="B25">
        <f>_xll.qlIndexFixing(B12,B24,FALSE,B20)</f>
        <v>1.1332334560375121</v>
      </c>
      <c r="C25" t="str">
        <f>_xll.ohRangeRetrieveError(B25)</f>
        <v/>
      </c>
    </row>
    <row r="26" spans="1:3" x14ac:dyDescent="0.3">
      <c r="A26" t="s">
        <v>23</v>
      </c>
      <c r="B26" s="1">
        <f>_xll.qlCalendarAdvance("TARGET",DATE(2019,12,30),"2D")</f>
        <v>43832</v>
      </c>
      <c r="C26" t="str">
        <f>_xll.ohRangeRetrieveError(B26)</f>
        <v/>
      </c>
    </row>
    <row r="27" spans="1:3" x14ac:dyDescent="0.3">
      <c r="A27" t="s">
        <v>24</v>
      </c>
      <c r="B27" s="1">
        <f>_xll.qlCalendarAdvance("TARGET",B24,"2D")</f>
        <v>44048</v>
      </c>
      <c r="C27" t="str">
        <f>_xll.ohRangeRetrieveError(B27)</f>
        <v/>
      </c>
    </row>
    <row r="28" spans="1:3" x14ac:dyDescent="0.3">
      <c r="A28" t="s">
        <v>25</v>
      </c>
      <c r="B28">
        <f>_xll.qlYieldTSDiscount(B10,B26)</f>
        <v>1</v>
      </c>
      <c r="C28" t="str">
        <f>_xll.ohRangeRetrieveError(B28)</f>
        <v/>
      </c>
    </row>
    <row r="29" spans="1:3" x14ac:dyDescent="0.3">
      <c r="A29" t="s">
        <v>26</v>
      </c>
      <c r="B29">
        <f>_xll.qlYieldTSDiscount(B10,B27)</f>
        <v>1</v>
      </c>
      <c r="C29" t="str">
        <f>_xll.ohRangeRetrieveError(B29)</f>
        <v/>
      </c>
    </row>
    <row r="30" spans="1:3" x14ac:dyDescent="0.3">
      <c r="A30" t="s">
        <v>27</v>
      </c>
      <c r="B30">
        <f>_xll.qlYieldTSDiscount(B11,B26)</f>
        <v>0.99983562994859365</v>
      </c>
      <c r="C30" t="str">
        <f>_xll.ohRangeRetrieveError(B30)</f>
        <v/>
      </c>
    </row>
    <row r="31" spans="1:3" x14ac:dyDescent="0.3">
      <c r="A31" t="s">
        <v>28</v>
      </c>
      <c r="B31">
        <f>_xll.qlYieldTSDiscount(B11,B27)</f>
        <v>0.98807171286193052</v>
      </c>
      <c r="C31" t="str">
        <f>_xll.ohRangeRetrieveError(B31)</f>
        <v/>
      </c>
    </row>
    <row r="32" spans="1:3" x14ac:dyDescent="0.3">
      <c r="A32" t="s">
        <v>29</v>
      </c>
      <c r="B32">
        <f>B8*B29*B30/(B28*B31)</f>
        <v>1.1332334560375121</v>
      </c>
    </row>
    <row r="33" spans="1:2" x14ac:dyDescent="0.3">
      <c r="A33" t="s">
        <v>30</v>
      </c>
      <c r="B33">
        <f>B25-B32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Ehlers, Eric</dc:creator>
  <cp:lastModifiedBy>Ehlers, Eric</cp:lastModifiedBy>
  <dcterms:created xsi:type="dcterms:W3CDTF">2026-10-07T08:39:54Z</dcterms:created>
  <dcterms:modified xsi:type="dcterms:W3CDTF">2026-10-07T08:40:00Z</dcterms:modified>
</cp:coreProperties>
</file>