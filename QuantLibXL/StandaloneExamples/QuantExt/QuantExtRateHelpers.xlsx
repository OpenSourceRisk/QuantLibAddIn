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ehlers\AppData\Local\Temp\"/>
    </mc:Choice>
  </mc:AlternateContent>
  <xr:revisionPtr revIDLastSave="0" documentId="13_ncr:1_{CB427A3F-1BA7-4351-BD21-01F8C156372B}" xr6:coauthVersionLast="47" xr6:coauthVersionMax="47" xr10:uidLastSave="{00000000-0000-0000-0000-000000000000}"/>
  <bookViews>
    <workbookView xWindow="-120" yWindow="-16320" windowWidth="29040" windowHeight="15720" xr2:uid="{CF2B5781-4466-47E6-A71C-B5120BD0E61C}"/>
  </bookViews>
  <sheets>
    <sheet name="Documentation" sheetId="1" r:id="rId1"/>
    <sheet name="Setup" sheetId="2" r:id="rId2"/>
    <sheet name="OIS_Helpers" sheetId="3" r:id="rId3"/>
    <sheet name="Basis_Helpers" sheetId="4" r:id="rId4"/>
    <sheet name="CrossCcy_Help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0" i="5" l="1"/>
  <c r="B14" i="5"/>
  <c r="B67" i="5"/>
  <c r="B66" i="5"/>
  <c r="B65" i="5"/>
  <c r="B56" i="5"/>
  <c r="B55" i="5"/>
  <c r="B49" i="5"/>
  <c r="B48" i="5"/>
  <c r="B47" i="5"/>
  <c r="B38" i="5"/>
  <c r="B37" i="5"/>
  <c r="B28" i="5"/>
  <c r="B27" i="5"/>
  <c r="B22" i="5"/>
  <c r="B21" i="5"/>
  <c r="B12" i="5"/>
  <c r="B11" i="5"/>
  <c r="B6" i="5"/>
  <c r="B5" i="5"/>
  <c r="B40" i="4"/>
  <c r="B39" i="4"/>
  <c r="B37" i="4"/>
  <c r="B31" i="4"/>
  <c r="B29" i="4"/>
  <c r="B22" i="4"/>
  <c r="B15" i="4"/>
  <c r="B11" i="4"/>
  <c r="B5" i="4"/>
  <c r="B49" i="3"/>
  <c r="B47" i="3"/>
  <c r="B39" i="3"/>
  <c r="B25" i="3"/>
  <c r="B24" i="3"/>
  <c r="B23" i="3"/>
  <c r="B22" i="3"/>
  <c r="B8" i="3"/>
  <c r="B7" i="3"/>
  <c r="C16" i="2"/>
  <c r="C6" i="2"/>
  <c r="C19" i="2"/>
  <c r="F19" i="2"/>
  <c r="C18" i="2"/>
  <c r="F18" i="2"/>
  <c r="F6" i="2"/>
  <c r="C7" i="2"/>
  <c r="C17" i="2"/>
  <c r="F17" i="2" s="1"/>
  <c r="C15" i="2"/>
  <c r="F15" i="2" s="1"/>
  <c r="C9" i="2"/>
  <c r="F16" i="2"/>
  <c r="C8" i="2"/>
  <c r="B3" i="2"/>
  <c r="F3" i="2" s="1"/>
  <c r="F8" i="2"/>
  <c r="C14" i="2"/>
  <c r="F9" i="2"/>
  <c r="F7" i="2"/>
  <c r="B70" i="5"/>
  <c r="D70" i="5" s="1"/>
  <c r="B52" i="3"/>
  <c r="D52" i="3"/>
  <c r="B18" i="3"/>
  <c r="D18" i="3"/>
  <c r="B51" i="5"/>
  <c r="D51" i="5" s="1"/>
  <c r="B33" i="4"/>
  <c r="D33" i="4" s="1"/>
  <c r="B35" i="3"/>
  <c r="D35" i="3" s="1"/>
  <c r="F14" i="2"/>
  <c r="B33" i="5"/>
  <c r="D33" i="5"/>
  <c r="B17" i="5"/>
  <c r="D17" i="5" s="1"/>
  <c r="B48" i="4"/>
  <c r="D48" i="4"/>
  <c r="B18" i="4"/>
  <c r="D18" i="4" s="1"/>
</calcChain>
</file>

<file path=xl/sharedStrings.xml><?xml version="1.0" encoding="utf-8"?>
<sst xmlns="http://schemas.openxmlformats.org/spreadsheetml/2006/main" count="283" uniqueCount="134">
  <si>
    <t>QuantExt Rate Helpers - Example / Regression Coverage</t>
  </si>
  <si>
    <t>This workbook exercises the ten QuantExt rate helpers exported to QuantLibXL.</t>
  </si>
  <si>
    <t>It is organised as:</t>
  </si>
  <si>
    <t xml:space="preserve">  - Setup          : evaluation date, market quotes, indices and a discount curve.</t>
  </si>
  <si>
    <t xml:space="preserve">  - OIS_Helpers    : qlQxOISRateHelper, qlQxDatedOISRateHelper, qlAverageOISRateHelper.</t>
  </si>
  <si>
    <t xml:space="preserve">  - Basis_Helpers  : qlBasisTwoSwapHelper, qlSubPeriodsSwapHelper, qlTenorBasisSwapHelper.</t>
  </si>
  <si>
    <t xml:space="preserve">  - CrossCcy_Helpers : the four cross-currency helpers.</t>
  </si>
  <si>
    <t>Each helper sheet lists its inputs in labelled cells and calls the function in the</t>
  </si>
  <si>
    <t>Formula' row. Recalculate (F9) with the QuantLibXL addin loaded to populate the</t>
  </si>
  <si>
    <t>object ids. The named input cells are referenced by the formulas so values can be</t>
  </si>
  <si>
    <t>changed in one place.</t>
  </si>
  <si>
    <t>Ticket: ACADIAQPR-14118</t>
  </si>
  <si>
    <t>Setup: evaluation date, quotes, indices and discount curve</t>
  </si>
  <si>
    <t>Evaluation date</t>
  </si>
  <si>
    <t>Object</t>
  </si>
  <si>
    <t>Id</t>
  </si>
  <si>
    <t>Formula</t>
  </si>
  <si>
    <t>Fixed rate quote</t>
  </si>
  <si>
    <t>RateQuote</t>
  </si>
  <si>
    <t>Spread quote</t>
  </si>
  <si>
    <t>SpreadQuote</t>
  </si>
  <si>
    <t>ON spread quote</t>
  </si>
  <si>
    <t>OnSpreadQuote</t>
  </si>
  <si>
    <t>Spot FX quote</t>
  </si>
  <si>
    <t>SpotFxQuote</t>
  </si>
  <si>
    <t>Overnight index (EUR)</t>
  </si>
  <si>
    <t>OnIndex</t>
  </si>
  <si>
    <t>Ibor index 6M (EUR)</t>
  </si>
  <si>
    <t>Ibor6M</t>
  </si>
  <si>
    <t>Ibor index 3M (EUR)</t>
  </si>
  <si>
    <t>Ibor3M</t>
  </si>
  <si>
    <t>Ibor index 3M (USD)</t>
  </si>
  <si>
    <t>UsdIbor3M</t>
  </si>
  <si>
    <t>Discount curve (EUR)</t>
  </si>
  <si>
    <t>EurDiscount</t>
  </si>
  <si>
    <t>Discount curve (USD)</t>
  </si>
  <si>
    <t>UsdDiscount</t>
  </si>
  <si>
    <t>Overnight-indexed-swap rate helpers</t>
  </si>
  <si>
    <t>qlQxOISRateHelper</t>
  </si>
  <si>
    <t>Argument</t>
  </si>
  <si>
    <t>Value</t>
  </si>
  <si>
    <t>SettlDays</t>
  </si>
  <si>
    <t>Tenor</t>
  </si>
  <si>
    <t>10Y</t>
  </si>
  <si>
    <t>FixedRate</t>
  </si>
  <si>
    <t>ONIndex</t>
  </si>
  <si>
    <t>FixedDayCounter</t>
  </si>
  <si>
    <t>Actual/360</t>
  </si>
  <si>
    <t>FixedCalendar</t>
  </si>
  <si>
    <t>TARGET</t>
  </si>
  <si>
    <t>PaymentLag</t>
  </si>
  <si>
    <t>PaymentFrequency</t>
  </si>
  <si>
    <t>Annual</t>
  </si>
  <si>
    <t>FixedConvention</t>
  </si>
  <si>
    <t>Following</t>
  </si>
  <si>
    <t>PaymentAdjustment</t>
  </si>
  <si>
    <t>Rule</t>
  </si>
  <si>
    <t>Backward</t>
  </si>
  <si>
    <t>DiscountingCurve</t>
  </si>
  <si>
    <t>TelescopicValueDates</t>
  </si>
  <si>
    <t>qlQxDatedOISRateHelper</t>
  </si>
  <si>
    <t>StartDate</t>
  </si>
  <si>
    <t>EndDate</t>
  </si>
  <si>
    <t>qlAverageOISRateHelper</t>
  </si>
  <si>
    <t>SpotLagTenor</t>
  </si>
  <si>
    <t>2D</t>
  </si>
  <si>
    <t>SwapTenor</t>
  </si>
  <si>
    <t>FixedTenor</t>
  </si>
  <si>
    <t>1Y</t>
  </si>
  <si>
    <t>FixedPaymentAdjustment</t>
  </si>
  <si>
    <t>ONTenor</t>
  </si>
  <si>
    <t>ONSpread</t>
  </si>
  <si>
    <t>RateCutoff</t>
  </si>
  <si>
    <t>Basis / sub-period / tenor-basis rate helpers</t>
  </si>
  <si>
    <t>qlBasisTwoSwapHelper</t>
  </si>
  <si>
    <t>Spread</t>
  </si>
  <si>
    <t>Calendar</t>
  </si>
  <si>
    <t>LongFixedFrequency</t>
  </si>
  <si>
    <t>LongFixedConvention</t>
  </si>
  <si>
    <t>LongFixedDayCount</t>
  </si>
  <si>
    <t>LongIndex</t>
  </si>
  <si>
    <t>ShortFixedFrequency</t>
  </si>
  <si>
    <t>ShortFixedConvention</t>
  </si>
  <si>
    <t>ShortFixedDayCount</t>
  </si>
  <si>
    <t>ShortIndex</t>
  </si>
  <si>
    <t>LongMinusShort</t>
  </si>
  <si>
    <t>qlSubPeriodsSwapHelper</t>
  </si>
  <si>
    <t>FixedDayCount</t>
  </si>
  <si>
    <t>FloatPayTenor</t>
  </si>
  <si>
    <t>3M</t>
  </si>
  <si>
    <t>IborIndex</t>
  </si>
  <si>
    <t>FloatDayCount</t>
  </si>
  <si>
    <t>CouponType</t>
  </si>
  <si>
    <t>Compounding</t>
  </si>
  <si>
    <t>qlTenorBasisSwapHelper</t>
  </si>
  <si>
    <t>PayIndex</t>
  </si>
  <si>
    <t>ReceiveIndex</t>
  </si>
  <si>
    <t>SpreadOnRec</t>
  </si>
  <si>
    <t>IncludeSpread</t>
  </si>
  <si>
    <t>PayFrequency</t>
  </si>
  <si>
    <t>6M</t>
  </si>
  <si>
    <t>RecFrequency</t>
  </si>
  <si>
    <t>Cross-currency rate helpers</t>
  </si>
  <si>
    <t>qlCrossCcyBasisSwapHelper</t>
  </si>
  <si>
    <t>SpotFX</t>
  </si>
  <si>
    <t>SettlementDays</t>
  </si>
  <si>
    <t>SettlementCalendar</t>
  </si>
  <si>
    <t>RollConvention</t>
  </si>
  <si>
    <t>FlatIndex</t>
  </si>
  <si>
    <t>SpreadIndex</t>
  </si>
  <si>
    <t>FlatDiscountCurve</t>
  </si>
  <si>
    <t>SpreadDiscountCurve</t>
  </si>
  <si>
    <t>EndOfMonth</t>
  </si>
  <si>
    <t>FlatIsDomestic</t>
  </si>
  <si>
    <t>qlCrossCcyBasisMtMResetSwapHelper</t>
  </si>
  <si>
    <t>ForeignCcyIndex</t>
  </si>
  <si>
    <t>DomesticCcyIndex</t>
  </si>
  <si>
    <t>ForeignCcyDiscountCurve</t>
  </si>
  <si>
    <t>DomesticCcyDiscountCurve</t>
  </si>
  <si>
    <t>SpreadOnForeignCcy</t>
  </si>
  <si>
    <t>qlCrossCcyFixFloatSwapHelper</t>
  </si>
  <si>
    <t>Rate</t>
  </si>
  <si>
    <t>SpotFx</t>
  </si>
  <si>
    <t>PaymentCalendar</t>
  </si>
  <si>
    <t>PaymentConvention</t>
  </si>
  <si>
    <t>FixedCurrency</t>
  </si>
  <si>
    <t>USD</t>
  </si>
  <si>
    <t>FixedFrequency</t>
  </si>
  <si>
    <t>Index</t>
  </si>
  <si>
    <t>FloatDiscount</t>
  </si>
  <si>
    <t>qlCrossCcyFixFloatMtMResetSwapHelper</t>
  </si>
  <si>
    <t>ResetsOnFloatLeg</t>
  </si>
  <si>
    <t>(left empty: wrapper sets indexGiven=true, so a discount curve here would over-specify the helper)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</si>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</sst>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D005-C6A7-456B-9287-C2AAA5E77E2B}">
  <dimension ref="A1:A15"/>
  <sheetViews>
    <sheetView tabSelected="1" workbookViewId="0"/>
  </sheetViews>
  <sheetFormatPr defaultRowHeight="14.4" x14ac:dyDescent="0.3"/>
  <sheetData>
    <row r="1" spans="1:1" ht="18" x14ac:dyDescent="0.35">
      <c r="A1" s="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10" spans="1:1" x14ac:dyDescent="0.3">
      <c r="A10" t="s">
        <v>7</v>
      </c>
    </row>
    <row r="11" spans="1:1" x14ac:dyDescent="0.3">
      <c r="A11" s="3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5" spans="1:1" x14ac:dyDescent="0.3">
      <c r="A15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EC58-80BB-4ABD-A7AB-3F07726E7A1F}">
  <dimension ref="A1:F19"/>
  <sheetViews>
    <sheetView workbookViewId="0"/>
  </sheetViews>
  <sheetFormatPr defaultRowHeight="14.4" x14ac:dyDescent="0.3"/>
  <cols>
    <col min="1" max="1" width="24.77734375" customWidth="1"/>
    <col min="3" max="3" width="70.77734375" customWidth="1"/>
    <col min="6" max="6" width="40.77734375" customWidth="1"/>
  </cols>
  <sheetData>
    <row r="1" spans="1:6" ht="18" x14ac:dyDescent="0.35">
      <c r="A1" s="2" t="s">
        <v>12</v>
      </c>
    </row>
    <row r="3" spans="1:6" x14ac:dyDescent="0.3">
      <c r="A3" t="s">
        <v>13</v>
      </c>
      <c r="B3" t="b">
        <f>_xll.qlSettingsSetEvaluationDate(DATE(2024,1,15),FALSE)</f>
        <v>1</v>
      </c>
      <c r="F3" t="str">
        <f>_xll.ohRangeRetrieveError(B3)</f>
        <v/>
      </c>
    </row>
    <row r="5" spans="1:6" x14ac:dyDescent="0.3">
      <c r="A5" s="1" t="s">
        <v>14</v>
      </c>
      <c r="B5" s="1" t="s">
        <v>15</v>
      </c>
      <c r="C5" s="1" t="s">
        <v>16</v>
      </c>
      <c r="F5" s="1" t="s">
        <v>133</v>
      </c>
    </row>
    <row r="6" spans="1:6" x14ac:dyDescent="0.3">
      <c r="A6" t="s">
        <v>17</v>
      </c>
      <c r="B6" t="s">
        <v>18</v>
      </c>
      <c r="C6" t="str">
        <f>_xll.qlSimpleQuote("RateQuote",0.03,0,FALSE,$C$3)</f>
        <v>RateQuote#0000</v>
      </c>
      <c r="F6" t="str">
        <f>_xll.ohRangeRetrieveError(C6)</f>
        <v/>
      </c>
    </row>
    <row r="7" spans="1:6" x14ac:dyDescent="0.3">
      <c r="A7" t="s">
        <v>19</v>
      </c>
      <c r="B7" t="s">
        <v>20</v>
      </c>
      <c r="C7" t="str">
        <f>_xll.qlSimpleQuote("SpreadQuote",0.001,0,FALSE,$C$3)</f>
        <v>SpreadQuote#0000</v>
      </c>
      <c r="F7" t="str">
        <f>_xll.ohRangeRetrieveError(C7)</f>
        <v/>
      </c>
    </row>
    <row r="8" spans="1:6" x14ac:dyDescent="0.3">
      <c r="A8" t="s">
        <v>21</v>
      </c>
      <c r="B8" t="s">
        <v>22</v>
      </c>
      <c r="C8" t="str">
        <f>_xll.qlSimpleQuote("OnSpreadQuote",0,0,FALSE,$C$3)</f>
        <v>OnSpreadQuote#0000</v>
      </c>
      <c r="F8" t="str">
        <f>_xll.ohRangeRetrieveError(C8)</f>
        <v/>
      </c>
    </row>
    <row r="9" spans="1:6" x14ac:dyDescent="0.3">
      <c r="A9" t="s">
        <v>23</v>
      </c>
      <c r="B9" t="s">
        <v>24</v>
      </c>
      <c r="C9" t="str">
        <f>_xll.qlSimpleQuote("SpotFxQuote",1.1,0,FALSE,$C$3)</f>
        <v>SpotFxQuote#0000</v>
      </c>
      <c r="F9" t="str">
        <f>_xll.ohRangeRetrieveError(C9)</f>
        <v/>
      </c>
    </row>
    <row r="13" spans="1:6" x14ac:dyDescent="0.3">
      <c r="A13" s="1" t="s">
        <v>14</v>
      </c>
      <c r="B13" s="1" t="s">
        <v>15</v>
      </c>
      <c r="C13" s="1" t="s">
        <v>16</v>
      </c>
      <c r="F13" s="1" t="s">
        <v>133</v>
      </c>
    </row>
    <row r="14" spans="1:6" x14ac:dyDescent="0.3">
      <c r="A14" t="s">
        <v>25</v>
      </c>
      <c r="B14" t="s">
        <v>26</v>
      </c>
      <c r="C14" t="str">
        <f>_xll.qlEonia("OnIndex","",FALSE,$C$3)</f>
        <v>OnIndex#0000</v>
      </c>
      <c r="F14" t="str">
        <f>_xll.ohRangeRetrieveError(C14)</f>
        <v/>
      </c>
    </row>
    <row r="15" spans="1:6" x14ac:dyDescent="0.3">
      <c r="A15" t="s">
        <v>27</v>
      </c>
      <c r="B15" t="s">
        <v>28</v>
      </c>
      <c r="C15" t="str">
        <f>_xll.qlEuribor("Ibor6M","6M","",FALSE,$C$3)</f>
        <v>Ibor6M#0000</v>
      </c>
      <c r="F15" t="str">
        <f>_xll.ohRangeRetrieveError(C15)</f>
        <v/>
      </c>
    </row>
    <row r="16" spans="1:6" x14ac:dyDescent="0.3">
      <c r="A16" t="s">
        <v>29</v>
      </c>
      <c r="B16" t="s">
        <v>30</v>
      </c>
      <c r="C16" t="str">
        <f>_xll.qlEuribor("Ibor3M","3M","",FALSE,$C$3)</f>
        <v>Ibor3M#0000</v>
      </c>
      <c r="F16" t="str">
        <f>_xll.ohRangeRetrieveError(C16)</f>
        <v/>
      </c>
    </row>
    <row r="17" spans="1:6" x14ac:dyDescent="0.3">
      <c r="A17" t="s">
        <v>31</v>
      </c>
      <c r="B17" t="s">
        <v>32</v>
      </c>
      <c r="C17" t="str">
        <f>_xll.qlLibor("UsdIbor3M","USD","3M","",FALSE,$C$3)</f>
        <v>UsdIbor3M#0000</v>
      </c>
      <c r="F17" t="str">
        <f>_xll.ohRangeRetrieveError(C17)</f>
        <v/>
      </c>
    </row>
    <row r="18" spans="1:6" x14ac:dyDescent="0.3">
      <c r="A18" t="s">
        <v>33</v>
      </c>
      <c r="B18" t="s">
        <v>34</v>
      </c>
      <c r="C18" t="str">
        <f>_xll.qlFlatForward("EurDiscount",0,"TARGET",0.03,"Actual/360","Continuous","Annual",FALSE,$C$3)</f>
        <v>EurDiscount#0000</v>
      </c>
      <c r="F18" t="str">
        <f>_xll.ohRangeRetrieveError(C18)</f>
        <v/>
      </c>
    </row>
    <row r="19" spans="1:6" x14ac:dyDescent="0.3">
      <c r="A19" t="s">
        <v>35</v>
      </c>
      <c r="B19" t="s">
        <v>36</v>
      </c>
      <c r="C19" t="str">
        <f>_xll.qlFlatForward("UsdDiscount",0,"US settlement",0.04,"Actual/360","Continuous","Annual",FALSE,$C$3)</f>
        <v>UsdDiscount#0000</v>
      </c>
      <c r="F19" t="str">
        <f>_xll.ohRangeRetrieveError(C19)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BCB6-29DF-4811-80BA-AACB49441B30}">
  <dimension ref="A1:D52"/>
  <sheetViews>
    <sheetView workbookViewId="0"/>
  </sheetViews>
  <sheetFormatPr defaultRowHeight="14.4" x14ac:dyDescent="0.3"/>
  <cols>
    <col min="1" max="2" width="24.77734375" customWidth="1"/>
    <col min="4" max="4" width="40.77734375" customWidth="1"/>
  </cols>
  <sheetData>
    <row r="1" spans="1:4" ht="18" x14ac:dyDescent="0.35">
      <c r="A1" s="2" t="s">
        <v>37</v>
      </c>
    </row>
    <row r="2" spans="1:4" x14ac:dyDescent="0.3">
      <c r="D2" s="1" t="s">
        <v>133</v>
      </c>
    </row>
    <row r="3" spans="1:4" x14ac:dyDescent="0.3">
      <c r="A3" s="1" t="s">
        <v>38</v>
      </c>
    </row>
    <row r="4" spans="1:4" x14ac:dyDescent="0.3">
      <c r="A4" s="1" t="s">
        <v>39</v>
      </c>
      <c r="B4" s="1" t="s">
        <v>40</v>
      </c>
    </row>
    <row r="5" spans="1:4" x14ac:dyDescent="0.3">
      <c r="A5" t="s">
        <v>41</v>
      </c>
      <c r="B5">
        <v>2</v>
      </c>
    </row>
    <row r="6" spans="1:4" x14ac:dyDescent="0.3">
      <c r="A6" t="s">
        <v>42</v>
      </c>
      <c r="B6" t="s">
        <v>43</v>
      </c>
    </row>
    <row r="7" spans="1:4" x14ac:dyDescent="0.3">
      <c r="A7" t="s">
        <v>44</v>
      </c>
      <c r="B7" t="str">
        <f>Setup!B6</f>
        <v>RateQuote</v>
      </c>
    </row>
    <row r="8" spans="1:4" x14ac:dyDescent="0.3">
      <c r="A8" t="s">
        <v>45</v>
      </c>
      <c r="B8" t="str">
        <f>Setup!B14</f>
        <v>OnIndex</v>
      </c>
    </row>
    <row r="9" spans="1:4" x14ac:dyDescent="0.3">
      <c r="A9" t="s">
        <v>46</v>
      </c>
      <c r="B9" t="s">
        <v>47</v>
      </c>
    </row>
    <row r="10" spans="1:4" x14ac:dyDescent="0.3">
      <c r="A10" t="s">
        <v>48</v>
      </c>
      <c r="B10" t="s">
        <v>49</v>
      </c>
    </row>
    <row r="11" spans="1:4" x14ac:dyDescent="0.3">
      <c r="A11" t="s">
        <v>50</v>
      </c>
      <c r="B11">
        <v>0</v>
      </c>
    </row>
    <row r="12" spans="1:4" x14ac:dyDescent="0.3">
      <c r="A12" t="s">
        <v>51</v>
      </c>
      <c r="B12" t="s">
        <v>52</v>
      </c>
    </row>
    <row r="13" spans="1:4" x14ac:dyDescent="0.3">
      <c r="A13" t="s">
        <v>53</v>
      </c>
      <c r="B13" t="s">
        <v>54</v>
      </c>
    </row>
    <row r="14" spans="1:4" x14ac:dyDescent="0.3">
      <c r="A14" t="s">
        <v>55</v>
      </c>
      <c r="B14" t="s">
        <v>54</v>
      </c>
    </row>
    <row r="15" spans="1:4" x14ac:dyDescent="0.3">
      <c r="A15" t="s">
        <v>56</v>
      </c>
      <c r="B15" t="s">
        <v>57</v>
      </c>
    </row>
    <row r="16" spans="1:4" x14ac:dyDescent="0.3">
      <c r="A16" t="s">
        <v>58</v>
      </c>
      <c r="D16" t="s">
        <v>132</v>
      </c>
    </row>
    <row r="17" spans="1:4" x14ac:dyDescent="0.3">
      <c r="A17" t="s">
        <v>59</v>
      </c>
      <c r="B17" t="b">
        <v>0</v>
      </c>
    </row>
    <row r="18" spans="1:4" x14ac:dyDescent="0.3">
      <c r="A18" s="1" t="s">
        <v>16</v>
      </c>
      <c r="B18" t="str">
        <f>_xll.qlQxOISRateHelper("QxOISRateHelper",B5,B6,B7,B8,B9,B10,B11,B12,B13,B14,B15,B16,B17,TRUE,FALSE,Setup!$C$3:$C$19)</f>
        <v>QxOISRateHelper#0000</v>
      </c>
      <c r="D18" t="str">
        <f>_xll.ohRangeRetrieveError(B18)</f>
        <v/>
      </c>
    </row>
    <row r="20" spans="1:4" x14ac:dyDescent="0.3">
      <c r="A20" s="1" t="s">
        <v>60</v>
      </c>
    </row>
    <row r="21" spans="1:4" x14ac:dyDescent="0.3">
      <c r="A21" s="1" t="s">
        <v>39</v>
      </c>
      <c r="B21" s="1" t="s">
        <v>40</v>
      </c>
    </row>
    <row r="22" spans="1:4" x14ac:dyDescent="0.3">
      <c r="A22" t="s">
        <v>61</v>
      </c>
      <c r="B22" s="4">
        <f>DATE(2024,1,17)</f>
        <v>45308</v>
      </c>
    </row>
    <row r="23" spans="1:4" x14ac:dyDescent="0.3">
      <c r="A23" t="s">
        <v>62</v>
      </c>
      <c r="B23" s="4">
        <f>DATE(2034,1,17)</f>
        <v>48961</v>
      </c>
    </row>
    <row r="24" spans="1:4" x14ac:dyDescent="0.3">
      <c r="A24" t="s">
        <v>44</v>
      </c>
      <c r="B24" t="str">
        <f>Setup!B6</f>
        <v>RateQuote</v>
      </c>
    </row>
    <row r="25" spans="1:4" x14ac:dyDescent="0.3">
      <c r="A25" t="s">
        <v>45</v>
      </c>
      <c r="B25" t="str">
        <f>Setup!B14</f>
        <v>OnIndex</v>
      </c>
    </row>
    <row r="26" spans="1:4" x14ac:dyDescent="0.3">
      <c r="A26" t="s">
        <v>46</v>
      </c>
      <c r="B26" t="s">
        <v>47</v>
      </c>
    </row>
    <row r="27" spans="1:4" x14ac:dyDescent="0.3">
      <c r="A27" t="s">
        <v>48</v>
      </c>
      <c r="B27" t="s">
        <v>49</v>
      </c>
    </row>
    <row r="28" spans="1:4" x14ac:dyDescent="0.3">
      <c r="A28" t="s">
        <v>50</v>
      </c>
      <c r="B28">
        <v>0</v>
      </c>
    </row>
    <row r="29" spans="1:4" x14ac:dyDescent="0.3">
      <c r="A29" t="s">
        <v>51</v>
      </c>
      <c r="B29" t="s">
        <v>52</v>
      </c>
    </row>
    <row r="30" spans="1:4" x14ac:dyDescent="0.3">
      <c r="A30" t="s">
        <v>53</v>
      </c>
      <c r="B30" t="s">
        <v>54</v>
      </c>
    </row>
    <row r="31" spans="1:4" x14ac:dyDescent="0.3">
      <c r="A31" t="s">
        <v>55</v>
      </c>
      <c r="B31" t="s">
        <v>54</v>
      </c>
    </row>
    <row r="32" spans="1:4" x14ac:dyDescent="0.3">
      <c r="A32" t="s">
        <v>56</v>
      </c>
      <c r="B32" t="s">
        <v>57</v>
      </c>
    </row>
    <row r="33" spans="1:4" x14ac:dyDescent="0.3">
      <c r="A33" t="s">
        <v>58</v>
      </c>
      <c r="D33" t="s">
        <v>132</v>
      </c>
    </row>
    <row r="34" spans="1:4" x14ac:dyDescent="0.3">
      <c r="A34" t="s">
        <v>59</v>
      </c>
      <c r="B34" t="b">
        <v>0</v>
      </c>
    </row>
    <row r="35" spans="1:4" x14ac:dyDescent="0.3">
      <c r="A35" s="1" t="s">
        <v>16</v>
      </c>
      <c r="B35" t="str">
        <f>_xll.qlQxDatedOISRateHelper("QxDatedOISRateHelper",B22,B23,B24,B25,B26,B27,B28,B29,B30,B31,B32,B33,B34,FALSE,Setup!$C$3:$C$19)</f>
        <v>QxDatedOISRateHelper#0000</v>
      </c>
      <c r="D35" t="str">
        <f>_xll.ohRangeRetrieveError(B35)</f>
        <v/>
      </c>
    </row>
    <row r="37" spans="1:4" x14ac:dyDescent="0.3">
      <c r="A37" s="1" t="s">
        <v>63</v>
      </c>
    </row>
    <row r="38" spans="1:4" x14ac:dyDescent="0.3">
      <c r="A38" s="1" t="s">
        <v>39</v>
      </c>
      <c r="B38" s="1" t="s">
        <v>40</v>
      </c>
    </row>
    <row r="39" spans="1:4" x14ac:dyDescent="0.3">
      <c r="A39" t="s">
        <v>44</v>
      </c>
      <c r="B39" t="str">
        <f>Setup!B6</f>
        <v>RateQuote</v>
      </c>
    </row>
    <row r="40" spans="1:4" x14ac:dyDescent="0.3">
      <c r="A40" t="s">
        <v>64</v>
      </c>
      <c r="B40" t="s">
        <v>65</v>
      </c>
    </row>
    <row r="41" spans="1:4" x14ac:dyDescent="0.3">
      <c r="A41" t="s">
        <v>66</v>
      </c>
      <c r="B41" t="s">
        <v>43</v>
      </c>
    </row>
    <row r="42" spans="1:4" x14ac:dyDescent="0.3">
      <c r="A42" t="s">
        <v>67</v>
      </c>
      <c r="B42" t="s">
        <v>68</v>
      </c>
    </row>
    <row r="43" spans="1:4" x14ac:dyDescent="0.3">
      <c r="A43" t="s">
        <v>46</v>
      </c>
      <c r="B43" t="s">
        <v>47</v>
      </c>
    </row>
    <row r="44" spans="1:4" x14ac:dyDescent="0.3">
      <c r="A44" t="s">
        <v>48</v>
      </c>
      <c r="B44" t="s">
        <v>49</v>
      </c>
    </row>
    <row r="45" spans="1:4" x14ac:dyDescent="0.3">
      <c r="A45" t="s">
        <v>53</v>
      </c>
      <c r="B45" t="s">
        <v>54</v>
      </c>
    </row>
    <row r="46" spans="1:4" x14ac:dyDescent="0.3">
      <c r="A46" t="s">
        <v>69</v>
      </c>
      <c r="B46" t="s">
        <v>54</v>
      </c>
    </row>
    <row r="47" spans="1:4" x14ac:dyDescent="0.3">
      <c r="A47" t="s">
        <v>45</v>
      </c>
      <c r="B47" t="str">
        <f>Setup!B14</f>
        <v>OnIndex</v>
      </c>
    </row>
    <row r="48" spans="1:4" x14ac:dyDescent="0.3">
      <c r="A48" t="s">
        <v>70</v>
      </c>
      <c r="B48" t="s">
        <v>68</v>
      </c>
    </row>
    <row r="49" spans="1:4" x14ac:dyDescent="0.3">
      <c r="A49" t="s">
        <v>71</v>
      </c>
      <c r="B49" t="str">
        <f>Setup!B8</f>
        <v>OnSpreadQuote</v>
      </c>
    </row>
    <row r="50" spans="1:4" x14ac:dyDescent="0.3">
      <c r="A50" t="s">
        <v>72</v>
      </c>
      <c r="B50">
        <v>0</v>
      </c>
    </row>
    <row r="51" spans="1:4" x14ac:dyDescent="0.3">
      <c r="A51" t="s">
        <v>58</v>
      </c>
      <c r="D51" t="s">
        <v>132</v>
      </c>
    </row>
    <row r="52" spans="1:4" x14ac:dyDescent="0.3">
      <c r="A52" s="1" t="s">
        <v>16</v>
      </c>
      <c r="B52" t="str">
        <f>_xll.qlAverageOISRateHelper("AverageOISRateHelper",B39,B40,B41,B42,B43,B44,B45,B46,B47,B48,B49,B50,B51,TRUE,FALSE,Setup!$C$3:$C$19)</f>
        <v>AverageOISRateHelper#0000</v>
      </c>
      <c r="D52" t="str">
        <f>_xll.ohRangeRetrieveError(B52)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7B90-B4E2-47D4-B775-0BB136A4BE4E}">
  <dimension ref="A1:D48"/>
  <sheetViews>
    <sheetView workbookViewId="0"/>
  </sheetViews>
  <sheetFormatPr defaultRowHeight="14.4" x14ac:dyDescent="0.3"/>
  <cols>
    <col min="1" max="2" width="24.77734375" customWidth="1"/>
    <col min="4" max="4" width="40.77734375" customWidth="1"/>
  </cols>
  <sheetData>
    <row r="1" spans="1:4" ht="18" x14ac:dyDescent="0.35">
      <c r="A1" s="2" t="s">
        <v>73</v>
      </c>
    </row>
    <row r="2" spans="1:4" x14ac:dyDescent="0.3">
      <c r="D2" s="1" t="s">
        <v>133</v>
      </c>
    </row>
    <row r="3" spans="1:4" x14ac:dyDescent="0.3">
      <c r="A3" s="1" t="s">
        <v>74</v>
      </c>
    </row>
    <row r="4" spans="1:4" x14ac:dyDescent="0.3">
      <c r="A4" s="1" t="s">
        <v>39</v>
      </c>
      <c r="B4" s="1" t="s">
        <v>40</v>
      </c>
    </row>
    <row r="5" spans="1:4" x14ac:dyDescent="0.3">
      <c r="A5" t="s">
        <v>75</v>
      </c>
      <c r="B5" t="str">
        <f>Setup!B7</f>
        <v>SpreadQuote</v>
      </c>
    </row>
    <row r="6" spans="1:4" x14ac:dyDescent="0.3">
      <c r="A6" t="s">
        <v>66</v>
      </c>
      <c r="B6" t="s">
        <v>43</v>
      </c>
    </row>
    <row r="7" spans="1:4" x14ac:dyDescent="0.3">
      <c r="A7" t="s">
        <v>76</v>
      </c>
      <c r="B7" t="s">
        <v>49</v>
      </c>
    </row>
    <row r="8" spans="1:4" x14ac:dyDescent="0.3">
      <c r="A8" t="s">
        <v>77</v>
      </c>
      <c r="B8" t="s">
        <v>52</v>
      </c>
    </row>
    <row r="9" spans="1:4" x14ac:dyDescent="0.3">
      <c r="A9" t="s">
        <v>78</v>
      </c>
      <c r="B9" t="s">
        <v>54</v>
      </c>
    </row>
    <row r="10" spans="1:4" x14ac:dyDescent="0.3">
      <c r="A10" t="s">
        <v>79</v>
      </c>
      <c r="B10" t="s">
        <v>47</v>
      </c>
    </row>
    <row r="11" spans="1:4" x14ac:dyDescent="0.3">
      <c r="A11" t="s">
        <v>80</v>
      </c>
      <c r="B11" t="str">
        <f>Setup!B15</f>
        <v>Ibor6M</v>
      </c>
    </row>
    <row r="12" spans="1:4" x14ac:dyDescent="0.3">
      <c r="A12" t="s">
        <v>81</v>
      </c>
      <c r="B12" t="s">
        <v>52</v>
      </c>
    </row>
    <row r="13" spans="1:4" x14ac:dyDescent="0.3">
      <c r="A13" t="s">
        <v>82</v>
      </c>
      <c r="B13" t="s">
        <v>54</v>
      </c>
    </row>
    <row r="14" spans="1:4" x14ac:dyDescent="0.3">
      <c r="A14" t="s">
        <v>83</v>
      </c>
      <c r="B14" t="s">
        <v>47</v>
      </c>
    </row>
    <row r="15" spans="1:4" x14ac:dyDescent="0.3">
      <c r="A15" t="s">
        <v>84</v>
      </c>
      <c r="B15" t="str">
        <f>Setup!B16</f>
        <v>Ibor3M</v>
      </c>
    </row>
    <row r="16" spans="1:4" x14ac:dyDescent="0.3">
      <c r="A16" t="s">
        <v>85</v>
      </c>
      <c r="B16" t="b">
        <v>1</v>
      </c>
    </row>
    <row r="17" spans="1:4" x14ac:dyDescent="0.3">
      <c r="A17" t="s">
        <v>58</v>
      </c>
      <c r="D17" t="s">
        <v>132</v>
      </c>
    </row>
    <row r="18" spans="1:4" x14ac:dyDescent="0.3">
      <c r="A18" s="1" t="s">
        <v>16</v>
      </c>
      <c r="B18" t="e">
        <f>_xll.qlBasisTwoSwapHelper("BasisTwoSwapHelper",B5,B6,B7,B8,B9,B10,B11,B12,B13,B14,B15,B16,B17,FALSE,Setup!$C$3:$C$19)</f>
        <v>#NUM!</v>
      </c>
      <c r="D18" t="str">
        <f ca="1">_xll.ohRangeRetrieveError(B18)</f>
        <v>qlBasisTwoSwapHelper - input value is vector or matrix, expected scalar</v>
      </c>
    </row>
    <row r="20" spans="1:4" x14ac:dyDescent="0.3">
      <c r="A20" s="1" t="s">
        <v>86</v>
      </c>
    </row>
    <row r="21" spans="1:4" x14ac:dyDescent="0.3">
      <c r="A21" s="1" t="s">
        <v>39</v>
      </c>
      <c r="B21" s="1" t="s">
        <v>40</v>
      </c>
    </row>
    <row r="22" spans="1:4" x14ac:dyDescent="0.3">
      <c r="A22" t="s">
        <v>75</v>
      </c>
      <c r="B22" t="str">
        <f>Setup!B7</f>
        <v>SpreadQuote</v>
      </c>
    </row>
    <row r="23" spans="1:4" x14ac:dyDescent="0.3">
      <c r="A23" t="s">
        <v>66</v>
      </c>
      <c r="B23" t="s">
        <v>43</v>
      </c>
    </row>
    <row r="24" spans="1:4" x14ac:dyDescent="0.3">
      <c r="A24" t="s">
        <v>67</v>
      </c>
      <c r="B24" t="s">
        <v>68</v>
      </c>
    </row>
    <row r="25" spans="1:4" x14ac:dyDescent="0.3">
      <c r="A25" t="s">
        <v>48</v>
      </c>
      <c r="B25" t="s">
        <v>49</v>
      </c>
    </row>
    <row r="26" spans="1:4" x14ac:dyDescent="0.3">
      <c r="A26" t="s">
        <v>87</v>
      </c>
      <c r="B26" t="s">
        <v>47</v>
      </c>
    </row>
    <row r="27" spans="1:4" x14ac:dyDescent="0.3">
      <c r="A27" t="s">
        <v>53</v>
      </c>
      <c r="B27" t="s">
        <v>54</v>
      </c>
    </row>
    <row r="28" spans="1:4" x14ac:dyDescent="0.3">
      <c r="A28" t="s">
        <v>88</v>
      </c>
      <c r="B28" t="s">
        <v>89</v>
      </c>
    </row>
    <row r="29" spans="1:4" x14ac:dyDescent="0.3">
      <c r="A29" t="s">
        <v>90</v>
      </c>
      <c r="B29" t="str">
        <f>Setup!B16</f>
        <v>Ibor3M</v>
      </c>
    </row>
    <row r="30" spans="1:4" x14ac:dyDescent="0.3">
      <c r="A30" t="s">
        <v>91</v>
      </c>
      <c r="B30" t="s">
        <v>47</v>
      </c>
    </row>
    <row r="31" spans="1:4" x14ac:dyDescent="0.3">
      <c r="A31" t="s">
        <v>58</v>
      </c>
      <c r="B31" t="str">
        <f>Setup!B18</f>
        <v>EurDiscount</v>
      </c>
    </row>
    <row r="32" spans="1:4" x14ac:dyDescent="0.3">
      <c r="A32" t="s">
        <v>92</v>
      </c>
      <c r="B32" t="s">
        <v>93</v>
      </c>
    </row>
    <row r="33" spans="1:4" x14ac:dyDescent="0.3">
      <c r="A33" s="1" t="s">
        <v>16</v>
      </c>
      <c r="B33" t="str">
        <f>_xll.qlSubPeriodsSwapHelper("SubPeriodsSwapHelper",B22,B23,B24,B25,B26,B27,B28,B29,B30,B31,B32,FALSE,Setup!$C$3:$C$19)</f>
        <v>SubPeriodsSwapHelper#0000</v>
      </c>
      <c r="D33" t="str">
        <f>_xll.ohRangeRetrieveError(B33)</f>
        <v/>
      </c>
    </row>
    <row r="35" spans="1:4" x14ac:dyDescent="0.3">
      <c r="A35" s="1" t="s">
        <v>94</v>
      </c>
    </row>
    <row r="36" spans="1:4" x14ac:dyDescent="0.3">
      <c r="A36" s="1" t="s">
        <v>39</v>
      </c>
      <c r="B36" s="1" t="s">
        <v>40</v>
      </c>
    </row>
    <row r="37" spans="1:4" x14ac:dyDescent="0.3">
      <c r="A37" t="s">
        <v>75</v>
      </c>
      <c r="B37" t="str">
        <f>Setup!B7</f>
        <v>SpreadQuote</v>
      </c>
    </row>
    <row r="38" spans="1:4" x14ac:dyDescent="0.3">
      <c r="A38" t="s">
        <v>66</v>
      </c>
      <c r="B38" t="s">
        <v>43</v>
      </c>
    </row>
    <row r="39" spans="1:4" x14ac:dyDescent="0.3">
      <c r="A39" t="s">
        <v>95</v>
      </c>
      <c r="B39" t="str">
        <f>Setup!B15</f>
        <v>Ibor6M</v>
      </c>
    </row>
    <row r="40" spans="1:4" x14ac:dyDescent="0.3">
      <c r="A40" t="s">
        <v>96</v>
      </c>
      <c r="B40" t="str">
        <f>Setup!B16</f>
        <v>Ibor3M</v>
      </c>
    </row>
    <row r="41" spans="1:4" x14ac:dyDescent="0.3">
      <c r="A41" t="s">
        <v>58</v>
      </c>
      <c r="D41" t="s">
        <v>132</v>
      </c>
    </row>
    <row r="42" spans="1:4" x14ac:dyDescent="0.3">
      <c r="A42" t="s">
        <v>97</v>
      </c>
      <c r="B42" t="b">
        <v>1</v>
      </c>
    </row>
    <row r="43" spans="1:4" x14ac:dyDescent="0.3">
      <c r="A43" t="s">
        <v>98</v>
      </c>
      <c r="B43" t="b">
        <v>0</v>
      </c>
    </row>
    <row r="44" spans="1:4" x14ac:dyDescent="0.3">
      <c r="A44" t="s">
        <v>99</v>
      </c>
      <c r="B44" t="s">
        <v>100</v>
      </c>
    </row>
    <row r="45" spans="1:4" x14ac:dyDescent="0.3">
      <c r="A45" t="s">
        <v>101</v>
      </c>
      <c r="B45" t="s">
        <v>89</v>
      </c>
    </row>
    <row r="46" spans="1:4" x14ac:dyDescent="0.3">
      <c r="A46" t="s">
        <v>59</v>
      </c>
      <c r="B46" t="b">
        <v>0</v>
      </c>
    </row>
    <row r="47" spans="1:4" x14ac:dyDescent="0.3">
      <c r="A47" t="s">
        <v>92</v>
      </c>
      <c r="B47" t="s">
        <v>93</v>
      </c>
    </row>
    <row r="48" spans="1:4" x14ac:dyDescent="0.3">
      <c r="A48" s="1" t="s">
        <v>16</v>
      </c>
      <c r="B48" t="e">
        <f>_xll.qlTenorBasisSwapHelper("TenorBasisSwapHelper",B37,B38,B39,B40,B41,B42,B43,B44,B45,B46,B47,FALSE,Setup!$C$3:$C$19)</f>
        <v>#NUM!</v>
      </c>
      <c r="D48" t="str">
        <f ca="1">_xll.ohRangeRetrieveError(B48)</f>
        <v>qlTenorBasisSwapHelper - input value is vector or matrix, expected scalar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896F-2792-4917-ADD4-394D52B36BF4}">
  <dimension ref="A1:D70"/>
  <sheetViews>
    <sheetView workbookViewId="0"/>
  </sheetViews>
  <sheetFormatPr defaultRowHeight="14.4" x14ac:dyDescent="0.3"/>
  <cols>
    <col min="1" max="1" width="26.77734375" customWidth="1"/>
    <col min="2" max="2" width="24.77734375" customWidth="1"/>
    <col min="4" max="4" width="40.77734375" customWidth="1"/>
  </cols>
  <sheetData>
    <row r="1" spans="1:4" ht="18" x14ac:dyDescent="0.35">
      <c r="A1" s="2" t="s">
        <v>102</v>
      </c>
    </row>
    <row r="2" spans="1:4" x14ac:dyDescent="0.3">
      <c r="D2" s="1" t="s">
        <v>133</v>
      </c>
    </row>
    <row r="3" spans="1:4" x14ac:dyDescent="0.3">
      <c r="A3" s="1" t="s">
        <v>103</v>
      </c>
    </row>
    <row r="4" spans="1:4" x14ac:dyDescent="0.3">
      <c r="A4" s="1" t="s">
        <v>39</v>
      </c>
      <c r="B4" s="1" t="s">
        <v>40</v>
      </c>
    </row>
    <row r="5" spans="1:4" x14ac:dyDescent="0.3">
      <c r="A5" t="s">
        <v>20</v>
      </c>
      <c r="B5" t="str">
        <f>Setup!B7</f>
        <v>SpreadQuote</v>
      </c>
    </row>
    <row r="6" spans="1:4" x14ac:dyDescent="0.3">
      <c r="A6" t="s">
        <v>104</v>
      </c>
      <c r="B6" t="str">
        <f>Setup!B9</f>
        <v>SpotFxQuote</v>
      </c>
    </row>
    <row r="7" spans="1:4" x14ac:dyDescent="0.3">
      <c r="A7" t="s">
        <v>105</v>
      </c>
      <c r="B7">
        <v>2</v>
      </c>
    </row>
    <row r="8" spans="1:4" x14ac:dyDescent="0.3">
      <c r="A8" t="s">
        <v>106</v>
      </c>
      <c r="B8" t="s">
        <v>49</v>
      </c>
    </row>
    <row r="9" spans="1:4" x14ac:dyDescent="0.3">
      <c r="A9" t="s">
        <v>66</v>
      </c>
      <c r="B9" t="s">
        <v>43</v>
      </c>
    </row>
    <row r="10" spans="1:4" x14ac:dyDescent="0.3">
      <c r="A10" t="s">
        <v>107</v>
      </c>
      <c r="B10" t="s">
        <v>54</v>
      </c>
    </row>
    <row r="11" spans="1:4" x14ac:dyDescent="0.3">
      <c r="A11" t="s">
        <v>108</v>
      </c>
      <c r="B11" t="str">
        <f>Setup!B16</f>
        <v>Ibor3M</v>
      </c>
    </row>
    <row r="12" spans="1:4" x14ac:dyDescent="0.3">
      <c r="A12" t="s">
        <v>109</v>
      </c>
      <c r="B12" t="str">
        <f>Setup!B17</f>
        <v>UsdIbor3M</v>
      </c>
    </row>
    <row r="13" spans="1:4" x14ac:dyDescent="0.3">
      <c r="A13" t="s">
        <v>110</v>
      </c>
      <c r="D13" t="s">
        <v>132</v>
      </c>
    </row>
    <row r="14" spans="1:4" x14ac:dyDescent="0.3">
      <c r="A14" t="s">
        <v>111</v>
      </c>
      <c r="B14" t="str">
        <f>Setup!B19</f>
        <v>UsdDiscount</v>
      </c>
    </row>
    <row r="15" spans="1:4" x14ac:dyDescent="0.3">
      <c r="A15" t="s">
        <v>112</v>
      </c>
      <c r="B15" t="b">
        <v>0</v>
      </c>
    </row>
    <row r="16" spans="1:4" x14ac:dyDescent="0.3">
      <c r="A16" t="s">
        <v>113</v>
      </c>
      <c r="B16" t="b">
        <v>1</v>
      </c>
    </row>
    <row r="17" spans="1:4" x14ac:dyDescent="0.3">
      <c r="A17" s="1" t="s">
        <v>16</v>
      </c>
      <c r="B17" t="e">
        <f>_xll.qlCrossCcyBasisSwapHelper("CrossCcyBasisSwapHelper",B5,B6,B7,B8,B9,B10,B11,B12,B13,B14,B15,B16,FALSE,Setup!$C$3:$C$19)</f>
        <v>#NUM!</v>
      </c>
      <c r="D17" t="str">
        <f ca="1">_xll.ohRangeRetrieveError(B17)</f>
        <v>qlCrossCcyBasisSwapHelper - input value is vector or matrix, expected scalar</v>
      </c>
    </row>
    <row r="19" spans="1:4" x14ac:dyDescent="0.3">
      <c r="A19" s="1" t="s">
        <v>114</v>
      </c>
    </row>
    <row r="20" spans="1:4" x14ac:dyDescent="0.3">
      <c r="A20" s="1" t="s">
        <v>39</v>
      </c>
      <c r="B20" s="1" t="s">
        <v>40</v>
      </c>
    </row>
    <row r="21" spans="1:4" x14ac:dyDescent="0.3">
      <c r="A21" t="s">
        <v>20</v>
      </c>
      <c r="B21" t="str">
        <f>Setup!B7</f>
        <v>SpreadQuote</v>
      </c>
    </row>
    <row r="22" spans="1:4" x14ac:dyDescent="0.3">
      <c r="A22" t="s">
        <v>104</v>
      </c>
      <c r="B22" t="str">
        <f>Setup!B9</f>
        <v>SpotFxQuote</v>
      </c>
    </row>
    <row r="23" spans="1:4" x14ac:dyDescent="0.3">
      <c r="A23" t="s">
        <v>105</v>
      </c>
      <c r="B23">
        <v>2</v>
      </c>
    </row>
    <row r="24" spans="1:4" x14ac:dyDescent="0.3">
      <c r="A24" t="s">
        <v>106</v>
      </c>
      <c r="B24" t="s">
        <v>49</v>
      </c>
    </row>
    <row r="25" spans="1:4" x14ac:dyDescent="0.3">
      <c r="A25" t="s">
        <v>66</v>
      </c>
      <c r="B25" t="s">
        <v>43</v>
      </c>
    </row>
    <row r="26" spans="1:4" x14ac:dyDescent="0.3">
      <c r="A26" t="s">
        <v>107</v>
      </c>
      <c r="B26" t="s">
        <v>54</v>
      </c>
    </row>
    <row r="27" spans="1:4" x14ac:dyDescent="0.3">
      <c r="A27" t="s">
        <v>115</v>
      </c>
      <c r="B27" t="str">
        <f>Setup!B17</f>
        <v>UsdIbor3M</v>
      </c>
    </row>
    <row r="28" spans="1:4" x14ac:dyDescent="0.3">
      <c r="A28" t="s">
        <v>116</v>
      </c>
      <c r="B28" t="str">
        <f>Setup!B16</f>
        <v>Ibor3M</v>
      </c>
    </row>
    <row r="29" spans="1:4" x14ac:dyDescent="0.3">
      <c r="A29" t="s">
        <v>117</v>
      </c>
      <c r="D29" t="s">
        <v>132</v>
      </c>
    </row>
    <row r="30" spans="1:4" x14ac:dyDescent="0.3">
      <c r="A30" t="s">
        <v>118</v>
      </c>
      <c r="B30" t="str">
        <f>Setup!B18</f>
        <v>EurDiscount</v>
      </c>
    </row>
    <row r="31" spans="1:4" x14ac:dyDescent="0.3">
      <c r="A31" t="s">
        <v>112</v>
      </c>
      <c r="B31" t="b">
        <v>0</v>
      </c>
    </row>
    <row r="32" spans="1:4" x14ac:dyDescent="0.3">
      <c r="A32" t="s">
        <v>119</v>
      </c>
      <c r="B32" t="b">
        <v>1</v>
      </c>
    </row>
    <row r="33" spans="1:4" x14ac:dyDescent="0.3">
      <c r="A33" s="1" t="s">
        <v>16</v>
      </c>
      <c r="B33" t="e">
        <f>_xll.qlCrossCcyBasisMtMResetSwapHelper("CrossCcyBasisMtMResetSwapHelper",B21,B22,B23,B24,B25,B26,B27,B28,B29,B30,B31,B32,FALSE,Setup!$C$3:$C$19)</f>
        <v>#NUM!</v>
      </c>
      <c r="D33" t="str">
        <f ca="1">_xll.ohRangeRetrieveError(B33)</f>
        <v>qlCrossCcyBasisMtMResetSwapHelper - input value is vector or matrix, expected scalar</v>
      </c>
    </row>
    <row r="35" spans="1:4" x14ac:dyDescent="0.3">
      <c r="A35" s="1" t="s">
        <v>120</v>
      </c>
    </row>
    <row r="36" spans="1:4" x14ac:dyDescent="0.3">
      <c r="A36" s="1" t="s">
        <v>39</v>
      </c>
      <c r="B36" s="1" t="s">
        <v>40</v>
      </c>
    </row>
    <row r="37" spans="1:4" x14ac:dyDescent="0.3">
      <c r="A37" t="s">
        <v>121</v>
      </c>
      <c r="B37" t="str">
        <f>Setup!B6</f>
        <v>RateQuote</v>
      </c>
    </row>
    <row r="38" spans="1:4" x14ac:dyDescent="0.3">
      <c r="A38" t="s">
        <v>122</v>
      </c>
      <c r="B38" t="str">
        <f>Setup!B9</f>
        <v>SpotFxQuote</v>
      </c>
    </row>
    <row r="39" spans="1:4" x14ac:dyDescent="0.3">
      <c r="A39" t="s">
        <v>105</v>
      </c>
      <c r="B39">
        <v>2</v>
      </c>
    </row>
    <row r="40" spans="1:4" x14ac:dyDescent="0.3">
      <c r="A40" t="s">
        <v>123</v>
      </c>
      <c r="B40" t="s">
        <v>49</v>
      </c>
    </row>
    <row r="41" spans="1:4" x14ac:dyDescent="0.3">
      <c r="A41" t="s">
        <v>124</v>
      </c>
      <c r="B41" t="s">
        <v>54</v>
      </c>
    </row>
    <row r="42" spans="1:4" x14ac:dyDescent="0.3">
      <c r="A42" t="s">
        <v>42</v>
      </c>
      <c r="B42" t="s">
        <v>43</v>
      </c>
    </row>
    <row r="43" spans="1:4" x14ac:dyDescent="0.3">
      <c r="A43" t="s">
        <v>125</v>
      </c>
      <c r="B43" t="s">
        <v>126</v>
      </c>
    </row>
    <row r="44" spans="1:4" x14ac:dyDescent="0.3">
      <c r="A44" t="s">
        <v>127</v>
      </c>
      <c r="B44" t="s">
        <v>52</v>
      </c>
    </row>
    <row r="45" spans="1:4" x14ac:dyDescent="0.3">
      <c r="A45" t="s">
        <v>53</v>
      </c>
      <c r="B45" t="s">
        <v>54</v>
      </c>
    </row>
    <row r="46" spans="1:4" x14ac:dyDescent="0.3">
      <c r="A46" t="s">
        <v>87</v>
      </c>
      <c r="B46" t="s">
        <v>47</v>
      </c>
    </row>
    <row r="47" spans="1:4" x14ac:dyDescent="0.3">
      <c r="A47" t="s">
        <v>128</v>
      </c>
      <c r="B47" t="str">
        <f>Setup!B16</f>
        <v>Ibor3M</v>
      </c>
    </row>
    <row r="48" spans="1:4" x14ac:dyDescent="0.3">
      <c r="A48" t="s">
        <v>129</v>
      </c>
      <c r="B48" t="str">
        <f>Setup!B18</f>
        <v>EurDiscount</v>
      </c>
    </row>
    <row r="49" spans="1:4" x14ac:dyDescent="0.3">
      <c r="A49" t="s">
        <v>75</v>
      </c>
      <c r="B49" t="str">
        <f>Setup!B8</f>
        <v>OnSpreadQuote</v>
      </c>
    </row>
    <row r="50" spans="1:4" x14ac:dyDescent="0.3">
      <c r="A50" t="s">
        <v>112</v>
      </c>
      <c r="B50" t="b">
        <v>0</v>
      </c>
    </row>
    <row r="51" spans="1:4" x14ac:dyDescent="0.3">
      <c r="A51" s="1" t="s">
        <v>16</v>
      </c>
      <c r="B51" t="str">
        <f>_xll.qlCrossCcyFixFloatSwapHelper("CrossCcyFixFloatSwapHelper",B37,B38,B39,B40,B41,B42,B43,B44,B45,B46,B47,B48,B49,B50,FALSE,Setup!$C$3:$C$19)</f>
        <v>CrossCcyFixFloatSwapHelper#0000</v>
      </c>
      <c r="D51" t="str">
        <f>_xll.ohRangeRetrieveError(B51)</f>
        <v/>
      </c>
    </row>
    <row r="53" spans="1:4" x14ac:dyDescent="0.3">
      <c r="A53" s="1" t="s">
        <v>130</v>
      </c>
    </row>
    <row r="54" spans="1:4" x14ac:dyDescent="0.3">
      <c r="A54" s="1" t="s">
        <v>39</v>
      </c>
      <c r="B54" s="1" t="s">
        <v>40</v>
      </c>
    </row>
    <row r="55" spans="1:4" x14ac:dyDescent="0.3">
      <c r="A55" t="s">
        <v>121</v>
      </c>
      <c r="B55" t="str">
        <f>Setup!B6</f>
        <v>RateQuote</v>
      </c>
    </row>
    <row r="56" spans="1:4" x14ac:dyDescent="0.3">
      <c r="A56" t="s">
        <v>122</v>
      </c>
      <c r="B56" t="str">
        <f>Setup!B9</f>
        <v>SpotFxQuote</v>
      </c>
    </row>
    <row r="57" spans="1:4" x14ac:dyDescent="0.3">
      <c r="A57" t="s">
        <v>105</v>
      </c>
      <c r="B57">
        <v>2</v>
      </c>
    </row>
    <row r="58" spans="1:4" x14ac:dyDescent="0.3">
      <c r="A58" t="s">
        <v>123</v>
      </c>
      <c r="B58" t="s">
        <v>49</v>
      </c>
    </row>
    <row r="59" spans="1:4" x14ac:dyDescent="0.3">
      <c r="A59" t="s">
        <v>124</v>
      </c>
      <c r="B59" t="s">
        <v>54</v>
      </c>
    </row>
    <row r="60" spans="1:4" x14ac:dyDescent="0.3">
      <c r="A60" t="s">
        <v>42</v>
      </c>
      <c r="B60" t="s">
        <v>43</v>
      </c>
    </row>
    <row r="61" spans="1:4" x14ac:dyDescent="0.3">
      <c r="A61" t="s">
        <v>125</v>
      </c>
      <c r="B61" t="s">
        <v>126</v>
      </c>
    </row>
    <row r="62" spans="1:4" x14ac:dyDescent="0.3">
      <c r="A62" t="s">
        <v>127</v>
      </c>
      <c r="B62" t="s">
        <v>52</v>
      </c>
    </row>
    <row r="63" spans="1:4" x14ac:dyDescent="0.3">
      <c r="A63" t="s">
        <v>53</v>
      </c>
      <c r="B63" t="s">
        <v>54</v>
      </c>
    </row>
    <row r="64" spans="1:4" x14ac:dyDescent="0.3">
      <c r="A64" t="s">
        <v>87</v>
      </c>
      <c r="B64" t="s">
        <v>47</v>
      </c>
    </row>
    <row r="65" spans="1:4" x14ac:dyDescent="0.3">
      <c r="A65" t="s">
        <v>128</v>
      </c>
      <c r="B65" t="str">
        <f>Setup!B16</f>
        <v>Ibor3M</v>
      </c>
    </row>
    <row r="66" spans="1:4" x14ac:dyDescent="0.3">
      <c r="A66" t="s">
        <v>129</v>
      </c>
      <c r="B66" t="str">
        <f>Setup!B18</f>
        <v>EurDiscount</v>
      </c>
    </row>
    <row r="67" spans="1:4" x14ac:dyDescent="0.3">
      <c r="A67" t="s">
        <v>75</v>
      </c>
      <c r="B67" t="str">
        <f>Setup!B8</f>
        <v>OnSpreadQuote</v>
      </c>
    </row>
    <row r="68" spans="1:4" x14ac:dyDescent="0.3">
      <c r="A68" t="s">
        <v>112</v>
      </c>
      <c r="B68" t="b">
        <v>0</v>
      </c>
    </row>
    <row r="69" spans="1:4" x14ac:dyDescent="0.3">
      <c r="A69" t="s">
        <v>131</v>
      </c>
      <c r="B69" t="b">
        <v>1</v>
      </c>
    </row>
    <row r="70" spans="1:4" x14ac:dyDescent="0.3">
      <c r="A70" s="1" t="s">
        <v>16</v>
      </c>
      <c r="B70" t="str">
        <f>_xll.qlCrossCcyFixFloatMtMResetSwapHelper("CrossCcyFixFloatMtMResetSwapHelper",B55,B56,B57,B58,B59,B60,B61,B62,B63,B64,B65,B66,B67,B68,B69,FALSE,Setup!$C$3:$C$19)</f>
        <v>CrossCcyFixFloatMtMResetSwapHelper#0000</v>
      </c>
      <c r="D70" t="str">
        <f>_xll.ohRangeRetrieveError(B70)</f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Setup</vt:lpstr>
      <vt:lpstr>OIS_Helpers</vt:lpstr>
      <vt:lpstr>Basis_Helpers</vt:lpstr>
      <vt:lpstr>CrossCcy_Helpers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Ehlers, Eric</dc:creator>
  <cp:lastModifiedBy>Ehlers, Eric</cp:lastModifiedBy>
  <dcterms:created xsi:type="dcterms:W3CDTF">2026-10-01T12:10:55Z</dcterms:created>
  <dcterms:modified xsi:type="dcterms:W3CDTF">2026-10-09T14:18:24Z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ffedc7-8dd7-4346-b906-eaa072ee5258_Enabled">
    <vt:lpwstr>true</vt:lpwstr>
  </property>
  <property fmtid="{D5CDD505-2E9C-101B-9397-08002B2CF9AE}" pid="3" name="MSIP_Label_16ffedc7-8dd7-4346-b906-eaa072ee5258_SetDate">
    <vt:lpwstr>2026-10-01T13:08:39Z</vt:lpwstr>
  </property>
  <property fmtid="{D5CDD505-2E9C-101B-9397-08002B2CF9AE}" pid="4" name="MSIP_Label_16ffedc7-8dd7-4346-b906-eaa072ee5258_Method">
    <vt:lpwstr>Standard</vt:lpwstr>
  </property>
  <property fmtid="{D5CDD505-2E9C-101B-9397-08002B2CF9AE}" pid="5" name="MSIP_Label_16ffedc7-8dd7-4346-b906-eaa072ee5258_Name">
    <vt:lpwstr>Corporate</vt:lpwstr>
  </property>
  <property fmtid="{D5CDD505-2E9C-101B-9397-08002B2CF9AE}" pid="6" name="MSIP_Label_16ffedc7-8dd7-4346-b906-eaa072ee5258_SiteId">
    <vt:lpwstr>287e9f0e-91ec-4cf0-b7a4-c63898072181</vt:lpwstr>
  </property>
  <property fmtid="{D5CDD505-2E9C-101B-9397-08002B2CF9AE}" pid="7" name="MSIP_Label_16ffedc7-8dd7-4346-b906-eaa072ee5258_ActionId">
    <vt:lpwstr>abe24b7b-bb95-4e28-91d9-0997ba897c2f</vt:lpwstr>
  </property>
  <property fmtid="{D5CDD505-2E9C-101B-9397-08002B2CF9AE}" pid="8" name="MSIP_Label_16ffedc7-8dd7-4346-b906-eaa072ee5258_ContentBits">
    <vt:lpwstr>1</vt:lpwstr>
  </property>
</Properties>
</file>